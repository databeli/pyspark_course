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Summary" sheetId="1" state="visible" r:id="rId1"/>
    <sheet xmlns:r="http://schemas.openxmlformats.org/officeDocument/2006/relationships" name="Course Videos" sheetId="2" state="visible" r:id="rId2"/>
  </sheets>
  <definedNames>
    <definedName name="_xlnm.Print_Area" localSheetId="0">'Progress Summary'!$A$1:$G$32</definedName>
    <definedName name="_xlnm._FilterDatabase" localSheetId="1" hidden="1">'Course Videos'!$A$1:$I$79</definedName>
    <definedName name="_xlnm.Print_Titles" localSheetId="1">'Course Videos'!$1:$1</definedName>
    <definedName name="_xlnm.Print_Area" localSheetId="1">'Course Videos'!$A$1:$I$79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AA5B1"/>
    </font>
    <font>
      <color rgb="000563C1"/>
      <u val="single"/>
    </font>
    <font>
      <color rgb="008A97A3"/>
      <sz val="9"/>
    </font>
    <font>
      <color rgb="00222222"/>
      <sz val="9"/>
    </font>
    <font>
      <b val="1"/>
      <color rgb="00FFFFFF"/>
      <sz val="20"/>
    </font>
    <font>
      <color rgb="00C7D8E6"/>
      <sz val="11"/>
    </font>
    <font>
      <b val="1"/>
      <color rgb="00B3261E"/>
      <sz val="13"/>
      <u val="single"/>
    </font>
    <font>
      <b val="1"/>
      <color rgb="002E7D6B"/>
      <sz val="40"/>
    </font>
    <font>
      <b val="1"/>
      <color rgb="007A8794"/>
      <sz val="9"/>
    </font>
    <font>
      <color rgb="007A8794"/>
      <sz val="9"/>
    </font>
    <font>
      <color rgb="005A6B7A"/>
      <sz val="10"/>
    </font>
    <font>
      <b val="1"/>
      <color rgb="001F3A5F"/>
      <sz val="12"/>
    </font>
    <font>
      <b val="1"/>
    </font>
    <font>
      <b val="1"/>
      <color rgb="001F3A5F"/>
      <sz val="10"/>
    </font>
    <font>
      <color rgb="005A6B7A"/>
      <sz val="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DEAE7"/>
      </patternFill>
    </fill>
    <fill>
      <patternFill patternType="solid">
        <fgColor rgb="00F2F8F5"/>
      </patternFill>
    </fill>
    <fill>
      <patternFill patternType="solid">
        <fgColor rgb="00E8EEF2"/>
      </patternFill>
    </fill>
  </fills>
  <borders count="5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  <border>
      <left style="medium">
        <color rgb="00B3261E"/>
      </left>
      <top style="medium">
        <color rgb="00B3261E"/>
      </top>
      <bottom style="medium">
        <color rgb="00B3261E"/>
      </bottom>
    </border>
    <border>
      <top style="medium">
        <color rgb="00B3261E"/>
      </top>
      <bottom style="medium">
        <color rgb="00B3261E"/>
      </bottom>
    </border>
    <border>
      <right style="medium">
        <color rgb="00B3261E"/>
      </right>
      <top style="medium">
        <color rgb="00B3261E"/>
      </top>
      <bottom style="medium">
        <color rgb="00B3261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6" fillId="2" borderId="0" applyAlignment="1" pivotButton="0" quotePrefix="0" xfId="0">
      <alignment vertical="center" indent="1"/>
    </xf>
    <xf numFmtId="0" fontId="0" fillId="2" borderId="0" pivotButton="0" quotePrefix="0" xfId="0"/>
    <xf numFmtId="0" fontId="7" fillId="2" borderId="0" applyAlignment="1" pivotButton="0" quotePrefix="0" xfId="0">
      <alignment vertical="center" indent="1"/>
    </xf>
    <xf numFmtId="0" fontId="8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4" borderId="4" pivotButton="0" quotePrefix="0" xfId="0"/>
    <xf numFmtId="166" fontId="9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0" borderId="1" applyAlignment="1" pivotButton="0" quotePrefix="0" xfId="0">
      <alignment vertical="center" indent="1"/>
    </xf>
    <xf numFmtId="0" fontId="13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/>
    </xf>
    <xf numFmtId="166" fontId="13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inden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0" fontId="0" fillId="6" borderId="1" applyAlignment="1" pivotButton="0" quotePrefix="0" xfId="0">
      <alignment vertical="center" indent="1"/>
    </xf>
    <xf numFmtId="0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6" fontId="14" fillId="6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pivotButton="0" quotePrefix="0" xfId="0"/>
    <xf numFmtId="164" fontId="5" fillId="0" borderId="1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164" fontId="0" fillId="0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3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E3F4E8"/>
        </patternFill>
      </fill>
    </dxf>
    <dxf>
      <fill>
        <patternFill patternType="solid">
          <fgColor rgb="00FFF3DC"/>
        </patternFill>
      </fill>
    </dxf>
    <dxf>
      <font>
        <b val="1"/>
        <color rgb="001E7B34"/>
      </font>
    </dxf>
    <dxf>
      <font>
        <b val="1"/>
        <color rgb="00A86A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playlist?list=PLaRPGtl3i6jI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SIRf3kNytyg&amp;list=PLaRPGtl3i6jI" TargetMode="External" Id="rId1"/><Relationship Type="http://schemas.openxmlformats.org/officeDocument/2006/relationships/hyperlink" Target="https://www.youtube.com/watch?v=LR8Hmysqnbg&amp;list=PLaRPGtl3i6jI" TargetMode="External" Id="rId2"/><Relationship Type="http://schemas.openxmlformats.org/officeDocument/2006/relationships/hyperlink" Target="https://www.youtube.com/watch?v=XH6Dtdo_5wA&amp;list=PLaRPGtl3i6jI" TargetMode="External" Id="rId3"/><Relationship Type="http://schemas.openxmlformats.org/officeDocument/2006/relationships/hyperlink" Target="https://www.youtube.com/watch?v=NgQP08BsxkI&amp;list=PLaRPGtl3i6jI" TargetMode="External" Id="rId4"/><Relationship Type="http://schemas.openxmlformats.org/officeDocument/2006/relationships/hyperlink" Target="https://www.youtube.com/watch?v=FXwqc4zJBhw&amp;list=PLaRPGtl3i6jI" TargetMode="External" Id="rId5"/><Relationship Type="http://schemas.openxmlformats.org/officeDocument/2006/relationships/hyperlink" Target="https://www.youtube.com/watch?v=hkmUDAsPrDE&amp;list=PLaRPGtl3i6jI" TargetMode="External" Id="rId6"/><Relationship Type="http://schemas.openxmlformats.org/officeDocument/2006/relationships/hyperlink" Target="https://www.youtube.com/watch?v=qnPzvSzfiok&amp;list=PLaRPGtl3i6jI" TargetMode="External" Id="rId7"/><Relationship Type="http://schemas.openxmlformats.org/officeDocument/2006/relationships/hyperlink" Target="https://www.youtube.com/watch?v=vhcvcxwjgzg&amp;list=PLaRPGtl3i6jI" TargetMode="External" Id="rId8"/><Relationship Type="http://schemas.openxmlformats.org/officeDocument/2006/relationships/hyperlink" Target="https://www.youtube.com/watch?v=TdwRNeoSl5Q&amp;list=PLaRPGtl3i6jI" TargetMode="External" Id="rId9"/><Relationship Type="http://schemas.openxmlformats.org/officeDocument/2006/relationships/hyperlink" Target="https://www.youtube.com/watch?v=NnRYsyGHaAU&amp;list=PLaRPGtl3i6jI" TargetMode="External" Id="rId10"/><Relationship Type="http://schemas.openxmlformats.org/officeDocument/2006/relationships/hyperlink" Target="https://www.youtube.com/watch?v=KJQl9Utr8f0&amp;list=PLaRPGtl3i6jI" TargetMode="External" Id="rId11"/><Relationship Type="http://schemas.openxmlformats.org/officeDocument/2006/relationships/hyperlink" Target="https://www.youtube.com/watch?v=TIJ5uwq4G-E&amp;list=PLaRPGtl3i6jI" TargetMode="External" Id="rId12"/><Relationship Type="http://schemas.openxmlformats.org/officeDocument/2006/relationships/hyperlink" Target="https://www.youtube.com/watch?v=XITlubJoR6M&amp;list=PLaRPGtl3i6jI" TargetMode="External" Id="rId13"/><Relationship Type="http://schemas.openxmlformats.org/officeDocument/2006/relationships/hyperlink" Target="https://www.youtube.com/watch?v=1E2MFv7CUOQ&amp;list=PLaRPGtl3i6jI" TargetMode="External" Id="rId14"/><Relationship Type="http://schemas.openxmlformats.org/officeDocument/2006/relationships/hyperlink" Target="https://www.youtube.com/watch?v=iDWVHdyoNuo&amp;list=PLaRPGtl3i6jI" TargetMode="External" Id="rId15"/><Relationship Type="http://schemas.openxmlformats.org/officeDocument/2006/relationships/hyperlink" Target="https://www.youtube.com/watch?v=x0HO0aIyKEc&amp;list=PLaRPGtl3i6jI" TargetMode="External" Id="rId16"/><Relationship Type="http://schemas.openxmlformats.org/officeDocument/2006/relationships/hyperlink" Target="https://www.youtube.com/watch?v=iubjoX2s4lM&amp;list=PLaRPGtl3i6jI" TargetMode="External" Id="rId17"/><Relationship Type="http://schemas.openxmlformats.org/officeDocument/2006/relationships/hyperlink" Target="https://www.youtube.com/watch?v=gKzLzxUEjuY&amp;list=PLaRPGtl3i6jI" TargetMode="External" Id="rId18"/><Relationship Type="http://schemas.openxmlformats.org/officeDocument/2006/relationships/hyperlink" Target="https://www.youtube.com/watch?v=Zw70GStboO8&amp;list=PLaRPGtl3i6jI" TargetMode="External" Id="rId19"/><Relationship Type="http://schemas.openxmlformats.org/officeDocument/2006/relationships/hyperlink" Target="https://www.youtube.com/watch?v=5pysgDToGFA&amp;list=PLaRPGtl3i6jI" TargetMode="External" Id="rId20"/><Relationship Type="http://schemas.openxmlformats.org/officeDocument/2006/relationships/hyperlink" Target="https://www.youtube.com/watch?v=t-42lC167k4&amp;list=PLaRPGtl3i6jI" TargetMode="External" Id="rId21"/><Relationship Type="http://schemas.openxmlformats.org/officeDocument/2006/relationships/hyperlink" Target="https://www.youtube.com/watch?v=AGNRtuWF80I&amp;list=PLaRPGtl3i6jI" TargetMode="External" Id="rId22"/><Relationship Type="http://schemas.openxmlformats.org/officeDocument/2006/relationships/hyperlink" Target="https://www.youtube.com/watch?v=X1I8Vlw1qNc&amp;list=PLaRPGtl3i6jI" TargetMode="External" Id="rId23"/><Relationship Type="http://schemas.openxmlformats.org/officeDocument/2006/relationships/hyperlink" Target="https://www.youtube.com/watch?v=wjcLsJAZFM8&amp;list=PLaRPGtl3i6jI" TargetMode="External" Id="rId24"/><Relationship Type="http://schemas.openxmlformats.org/officeDocument/2006/relationships/hyperlink" Target="https://www.youtube.com/watch?v=V7Gi26Bumoo&amp;list=PLaRPGtl3i6jI" TargetMode="External" Id="rId25"/><Relationship Type="http://schemas.openxmlformats.org/officeDocument/2006/relationships/hyperlink" Target="https://www.youtube.com/watch?v=a0giH0heLV8&amp;list=PLaRPGtl3i6jI" TargetMode="External" Id="rId26"/><Relationship Type="http://schemas.openxmlformats.org/officeDocument/2006/relationships/hyperlink" Target="https://www.youtube.com/watch?v=MvVuLks11cE&amp;list=PLaRPGtl3i6jI" TargetMode="External" Id="rId27"/><Relationship Type="http://schemas.openxmlformats.org/officeDocument/2006/relationships/hyperlink" Target="https://www.youtube.com/watch?v=Rp4mGAw_wzQ&amp;list=PLaRPGtl3i6jI" TargetMode="External" Id="rId28"/><Relationship Type="http://schemas.openxmlformats.org/officeDocument/2006/relationships/hyperlink" Target="https://www.youtube.com/watch?v=PvXLIJjnRVs&amp;list=PLaRPGtl3i6jI" TargetMode="External" Id="rId29"/><Relationship Type="http://schemas.openxmlformats.org/officeDocument/2006/relationships/hyperlink" Target="https://www.youtube.com/watch?v=_2OmZl63hgs&amp;list=PLaRPGtl3i6jI" TargetMode="External" Id="rId30"/><Relationship Type="http://schemas.openxmlformats.org/officeDocument/2006/relationships/hyperlink" Target="https://www.youtube.com/watch?v=4mkvTXxIzcY&amp;list=PLaRPGtl3i6jI" TargetMode="External" Id="rId31"/><Relationship Type="http://schemas.openxmlformats.org/officeDocument/2006/relationships/hyperlink" Target="https://www.youtube.com/watch?v=QibVLq4KiEQ&amp;list=PLaRPGtl3i6jI" TargetMode="External" Id="rId32"/><Relationship Type="http://schemas.openxmlformats.org/officeDocument/2006/relationships/hyperlink" Target="https://www.youtube.com/watch?v=aEGan35iBbE&amp;list=PLaRPGtl3i6jI" TargetMode="External" Id="rId33"/><Relationship Type="http://schemas.openxmlformats.org/officeDocument/2006/relationships/hyperlink" Target="https://www.youtube.com/watch?v=0lRVE6zjiQ4&amp;list=PLaRPGtl3i6jI" TargetMode="External" Id="rId34"/><Relationship Type="http://schemas.openxmlformats.org/officeDocument/2006/relationships/hyperlink" Target="https://www.youtube.com/watch?v=gC4AtpS8Oug&amp;list=PLaRPGtl3i6jI" TargetMode="External" Id="rId35"/><Relationship Type="http://schemas.openxmlformats.org/officeDocument/2006/relationships/hyperlink" Target="https://www.youtube.com/watch?v=rKtFJbokSGc&amp;list=PLaRPGtl3i6jI" TargetMode="External" Id="rId36"/><Relationship Type="http://schemas.openxmlformats.org/officeDocument/2006/relationships/hyperlink" Target="https://www.youtube.com/watch?v=rMhVm73iykg&amp;list=PLaRPGtl3i6jI" TargetMode="External" Id="rId37"/><Relationship Type="http://schemas.openxmlformats.org/officeDocument/2006/relationships/hyperlink" Target="https://www.youtube.com/watch?v=RiD37_V2RMk&amp;list=PLaRPGtl3i6jI" TargetMode="External" Id="rId38"/><Relationship Type="http://schemas.openxmlformats.org/officeDocument/2006/relationships/hyperlink" Target="https://www.youtube.com/watch?v=QNe7FmcsIL8&amp;list=PLaRPGtl3i6jI" TargetMode="External" Id="rId39"/><Relationship Type="http://schemas.openxmlformats.org/officeDocument/2006/relationships/hyperlink" Target="https://www.youtube.com/watch?v=Q5EuNAbo9p0&amp;list=PLaRPGtl3i6jI" TargetMode="External" Id="rId40"/><Relationship Type="http://schemas.openxmlformats.org/officeDocument/2006/relationships/hyperlink" Target="https://www.youtube.com/watch?v=nR5P2-x7Sbk&amp;list=PLaRPGtl3i6jI" TargetMode="External" Id="rId41"/><Relationship Type="http://schemas.openxmlformats.org/officeDocument/2006/relationships/hyperlink" Target="https://www.youtube.com/watch?v=YUZ6-FVPQxw&amp;list=PLaRPGtl3i6jI" TargetMode="External" Id="rId42"/><Relationship Type="http://schemas.openxmlformats.org/officeDocument/2006/relationships/hyperlink" Target="https://www.youtube.com/watch?v=mzNz_tjlaVc&amp;list=PLaRPGtl3i6jI" TargetMode="External" Id="rId43"/><Relationship Type="http://schemas.openxmlformats.org/officeDocument/2006/relationships/hyperlink" Target="https://www.youtube.com/watch?v=8GPcrj01-ko&amp;list=PLaRPGtl3i6jI" TargetMode="External" Id="rId44"/><Relationship Type="http://schemas.openxmlformats.org/officeDocument/2006/relationships/hyperlink" Target="https://www.youtube.com/watch?v=UiPlxBBjN5g&amp;list=PLaRPGtl3i6jI" TargetMode="External" Id="rId45"/><Relationship Type="http://schemas.openxmlformats.org/officeDocument/2006/relationships/hyperlink" Target="https://www.youtube.com/watch?v=3OpSN-gM_8I&amp;list=PLaRPGtl3i6jI" TargetMode="External" Id="rId46"/><Relationship Type="http://schemas.openxmlformats.org/officeDocument/2006/relationships/hyperlink" Target="https://www.youtube.com/watch?v=1J1keOqWeCQ&amp;list=PLaRPGtl3i6jI" TargetMode="External" Id="rId47"/><Relationship Type="http://schemas.openxmlformats.org/officeDocument/2006/relationships/hyperlink" Target="https://www.youtube.com/watch?v=tirGDRKm1Gc&amp;list=PLaRPGtl3i6jI" TargetMode="External" Id="rId48"/><Relationship Type="http://schemas.openxmlformats.org/officeDocument/2006/relationships/hyperlink" Target="https://www.youtube.com/watch?v=OiUHPsrn3xw&amp;list=PLaRPGtl3i6jI" TargetMode="External" Id="rId49"/><Relationship Type="http://schemas.openxmlformats.org/officeDocument/2006/relationships/hyperlink" Target="https://www.youtube.com/watch?v=HkScZkxHIns&amp;list=PLaRPGtl3i6jI" TargetMode="External" Id="rId50"/><Relationship Type="http://schemas.openxmlformats.org/officeDocument/2006/relationships/hyperlink" Target="https://www.youtube.com/watch?v=dZ7meO55T5c&amp;list=PLaRPGtl3i6jI" TargetMode="External" Id="rId51"/><Relationship Type="http://schemas.openxmlformats.org/officeDocument/2006/relationships/hyperlink" Target="https://www.youtube.com/watch?v=kmxfxC7JwQQ&amp;list=PLaRPGtl3i6jI" TargetMode="External" Id="rId52"/><Relationship Type="http://schemas.openxmlformats.org/officeDocument/2006/relationships/hyperlink" Target="https://www.youtube.com/watch?v=N7p3kMe5-cI&amp;list=PLaRPGtl3i6jI" TargetMode="External" Id="rId53"/><Relationship Type="http://schemas.openxmlformats.org/officeDocument/2006/relationships/hyperlink" Target="https://www.youtube.com/watch?v=GDqt2QujR7w&amp;list=PLaRPGtl3i6jI" TargetMode="External" Id="rId54"/><Relationship Type="http://schemas.openxmlformats.org/officeDocument/2006/relationships/hyperlink" Target="https://www.youtube.com/watch?v=U_derV0PBeM&amp;list=PLaRPGtl3i6jI" TargetMode="External" Id="rId55"/><Relationship Type="http://schemas.openxmlformats.org/officeDocument/2006/relationships/hyperlink" Target="https://www.youtube.com/watch?v=QHwszePV3GY&amp;list=PLaRPGtl3i6jI" TargetMode="External" Id="rId56"/><Relationship Type="http://schemas.openxmlformats.org/officeDocument/2006/relationships/hyperlink" Target="https://www.youtube.com/watch?v=F2Ce973zBIQ&amp;list=PLaRPGtl3i6jI" TargetMode="External" Id="rId57"/><Relationship Type="http://schemas.openxmlformats.org/officeDocument/2006/relationships/hyperlink" Target="https://www.youtube.com/watch?v=_h7sRtwTCBs&amp;list=PLaRPGtl3i6jI" TargetMode="External" Id="rId58"/><Relationship Type="http://schemas.openxmlformats.org/officeDocument/2006/relationships/hyperlink" Target="https://www.youtube.com/watch?v=MFK7M9RS85I&amp;list=PLaRPGtl3i6jI" TargetMode="External" Id="rId59"/><Relationship Type="http://schemas.openxmlformats.org/officeDocument/2006/relationships/hyperlink" Target="https://www.youtube.com/watch?v=RyTczLQOAFA&amp;list=PLaRPGtl3i6jI" TargetMode="External" Id="rId60"/><Relationship Type="http://schemas.openxmlformats.org/officeDocument/2006/relationships/hyperlink" Target="https://www.youtube.com/watch?v=MCNGLbfsmIA&amp;list=PLaRPGtl3i6jI" TargetMode="External" Id="rId61"/><Relationship Type="http://schemas.openxmlformats.org/officeDocument/2006/relationships/hyperlink" Target="https://www.youtube.com/watch?v=ze4RoUkYv5U&amp;list=PLaRPGtl3i6jI" TargetMode="External" Id="rId62"/><Relationship Type="http://schemas.openxmlformats.org/officeDocument/2006/relationships/hyperlink" Target="https://www.youtube.com/watch?v=ayN0VgSv8J0&amp;list=PLaRPGtl3i6jI" TargetMode="External" Id="rId63"/><Relationship Type="http://schemas.openxmlformats.org/officeDocument/2006/relationships/hyperlink" Target="https://www.youtube.com/watch?v=wUDR2ed5v4w&amp;list=PLaRPGtl3i6jI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9" customWidth="1" min="2" max="2"/>
    <col width="13" customWidth="1" min="3" max="3"/>
    <col width="19" customWidth="1" min="4" max="4"/>
    <col width="12" customWidth="1" min="5" max="5"/>
    <col width="16" customWidth="1" min="6" max="6"/>
    <col width="3" customWidth="1" min="7" max="7"/>
  </cols>
  <sheetData>
    <row r="2" ht="34" customHeight="1">
      <c r="B2" s="1" t="inlineStr">
        <is>
          <t>One Playlist to Make You a Data Engineer</t>
        </is>
      </c>
      <c r="C2" s="2" t="n"/>
      <c r="D2" s="2" t="n"/>
      <c r="E2" s="2" t="n"/>
      <c r="F2" s="2" t="n"/>
    </row>
    <row r="3" ht="20" customHeight="1">
      <c r="B3" s="3" t="inlineStr">
        <is>
          <t>Progress Tracker</t>
        </is>
      </c>
      <c r="C3" s="2" t="n"/>
      <c r="D3" s="2" t="n"/>
      <c r="E3" s="2" t="n"/>
      <c r="F3" s="2" t="n"/>
    </row>
    <row r="4" ht="30" customHeight="1">
      <c r="B4" s="4" t="inlineStr">
        <is>
          <t>CLICK HERE TO OPEN THE PLAYLIST ON YOUTUBE</t>
        </is>
      </c>
      <c r="C4" s="5" t="n"/>
      <c r="D4" s="5" t="n"/>
      <c r="E4" s="5" t="n"/>
      <c r="F4" s="6" t="n"/>
    </row>
    <row r="5" ht="8" customHeight="1"/>
    <row r="6">
      <c r="B6" s="7">
        <f>IFERROR((SUMIF('Course Videos'!$G$2:$G$79,"Completed",'Course Videos'!$F$2:$F$79)+0.5*SUMIF('Course Videos'!$G$2:$G$79,"In Progress",'Course Videos'!$F$2:$F$79))/SUM('Course Videos'!$F$2:$F$79),0)</f>
        <v/>
      </c>
      <c r="C6" s="8" t="n"/>
      <c r="D6" s="9" t="inlineStr">
        <is>
          <t>Videos done</t>
        </is>
      </c>
      <c r="E6" s="10">
        <f>COUNTIF('Course Videos'!$G$2:$G$79,"Completed")&amp;" / "&amp;COUNTA('Course Videos'!$G$2:$G$79)</f>
        <v/>
      </c>
    </row>
    <row r="7">
      <c r="B7" s="8" t="n"/>
      <c r="C7" s="8" t="n"/>
      <c r="D7" s="9" t="inlineStr">
        <is>
          <t>Hours watched</t>
        </is>
      </c>
      <c r="E7" s="11">
        <f>IFERROR(SUMIF('Course Videos'!$G$2:$G$79,"Completed",'Course Videos'!$F$2:$F$79)/60,0)</f>
        <v/>
      </c>
    </row>
    <row r="8">
      <c r="B8" s="8" t="n"/>
      <c r="C8" s="8" t="n"/>
      <c r="D8" s="9" t="inlineStr">
        <is>
          <t>Hours remaining</t>
        </is>
      </c>
      <c r="E8" s="11">
        <f>IFERROR((SUM('Course Videos'!$F$2:$F$79)-SUMIF('Course Videos'!$G$2:$G$79,"Completed",'Course Videos'!$F$2:$F$79))/60,0)</f>
        <v/>
      </c>
    </row>
    <row r="9">
      <c r="B9" s="12" t="inlineStr">
        <is>
          <t>OVERALL PROGRESS  (weighted by watch time)</t>
        </is>
      </c>
      <c r="C9" s="8" t="n"/>
      <c r="D9" s="9" t="inlineStr">
        <is>
          <t>Progress by count</t>
        </is>
      </c>
      <c r="E9" s="13">
        <f>IFERROR((COUNTIF('Course Videos'!$G$2:$G$79,"Completed")+0.5*COUNTIF('Course Videos'!$G$2:$G$79,"In Progress"))/COUNTA('Course Videos'!$G$2:$G$79),0)</f>
        <v/>
      </c>
    </row>
    <row r="10">
      <c r="B10" s="14">
        <f>"Total course length: "&amp;TEXT(SUM('Course Videos'!$F$2:$F$79)/60,"0.0")&amp;" hours across "&amp;COUNTA('Course Videos'!$G$2:$G$79)&amp;" videos"</f>
        <v/>
      </c>
    </row>
    <row r="12" ht="22" customHeight="1">
      <c r="B12" s="15" t="inlineStr">
        <is>
          <t>SECTION</t>
        </is>
      </c>
      <c r="C12" s="16" t="inlineStr">
        <is>
          <t>Videos</t>
        </is>
      </c>
      <c r="D12" s="16" t="inlineStr">
        <is>
          <t>Done</t>
        </is>
      </c>
      <c r="E12" s="16" t="inlineStr">
        <is>
          <t>Hours</t>
        </is>
      </c>
      <c r="F12" s="16" t="inlineStr">
        <is>
          <t>Progress</t>
        </is>
      </c>
    </row>
    <row r="13" ht="19" customHeight="1">
      <c r="B13" s="17" t="inlineStr">
        <is>
          <t>0. Start Here</t>
        </is>
      </c>
      <c r="C13" s="18">
        <f>COUNTIF('Course Videos'!$B$2:$B$79,"0. Start Here")</f>
        <v/>
      </c>
      <c r="D13" s="18">
        <f>COUNTIFS('Course Videos'!$B$2:$B$79,"0. Start Here",'Course Videos'!$G$2:$G$79,"Completed")</f>
        <v/>
      </c>
      <c r="E13" s="19">
        <f>IFERROR(SUMIF('Course Videos'!$B$2:$B$79,"0. Start Here",'Course Videos'!$F$2:$F$79)/60,0)</f>
        <v/>
      </c>
      <c r="F13" s="20">
        <f>IFERROR(IF(SUMIF('Course Videos'!$B$2:$B$79,"0. Start Here",'Course Videos'!$F$2:$F$79)=0,(COUNTIFS('Course Videos'!$B$2:$B$79,"0. Start Here",'Course Videos'!$G$2:$G$79,"Completed")+0.5*COUNTIFS('Course Videos'!$B$2:$B$79,"0. Start Here",'Course Videos'!$G$2:$G$79,"In Progress"))/COUNTIF('Course Videos'!$B$2:$B$79,"0. Start Here"),(SUMIFS('Course Videos'!$F$2:$F$79,'Course Videos'!$B$2:$B$79,"0. Start Here",'Course Videos'!$G$2:$G$79,"Completed")+0.5*SUMIFS('Course Videos'!$F$2:$F$79,'Course Videos'!$B$2:$B$79,"0. Start Here",'Course Videos'!$G$2:$G$79,"In Progress"))/SUMIF('Course Videos'!$B$2:$B$79,"0. Start Here",'Course Videos'!$F$2:$F$79)),0)</f>
        <v/>
      </c>
    </row>
    <row r="14" ht="19" customHeight="1">
      <c r="B14" s="21" t="inlineStr">
        <is>
          <t>1. Spark Foundations</t>
        </is>
      </c>
      <c r="C14" s="22">
        <f>COUNTIF('Course Videos'!$B$2:$B$79,"1. Spark Foundations")</f>
        <v/>
      </c>
      <c r="D14" s="22">
        <f>COUNTIFS('Course Videos'!$B$2:$B$79,"1. Spark Foundations",'Course Videos'!$G$2:$G$79,"Completed")</f>
        <v/>
      </c>
      <c r="E14" s="23">
        <f>IFERROR(SUMIF('Course Videos'!$B$2:$B$79,"1. Spark Foundations",'Course Videos'!$F$2:$F$79)/60,0)</f>
        <v/>
      </c>
      <c r="F14" s="24">
        <f>IFERROR(IF(SUMIF('Course Videos'!$B$2:$B$79,"1. Spark Foundations",'Course Videos'!$F$2:$F$79)=0,(COUNTIFS('Course Videos'!$B$2:$B$79,"1. Spark Foundations",'Course Videos'!$G$2:$G$79,"Completed")+0.5*COUNTIFS('Course Videos'!$B$2:$B$79,"1. Spark Foundations",'Course Videos'!$G$2:$G$79,"In Progress"))/COUNTIF('Course Videos'!$B$2:$B$79,"1. Spark Foundations"),(SUMIFS('Course Videos'!$F$2:$F$79,'Course Videos'!$B$2:$B$79,"1. Spark Foundations",'Course Videos'!$G$2:$G$79,"Completed")+0.5*SUMIFS('Course Videos'!$F$2:$F$79,'Course Videos'!$B$2:$B$79,"1. Spark Foundations",'Course Videos'!$G$2:$G$79,"In Progress"))/SUMIF('Course Videos'!$B$2:$B$79,"1. Spark Foundations",'Course Videos'!$F$2:$F$79)),0)</f>
        <v/>
      </c>
    </row>
    <row r="15" ht="19" customHeight="1">
      <c r="B15" s="17" t="inlineStr">
        <is>
          <t>2. Reading Data with PySpark</t>
        </is>
      </c>
      <c r="C15" s="18">
        <f>COUNTIF('Course Videos'!$B$2:$B$79,"2. Reading Data with PySpark")</f>
        <v/>
      </c>
      <c r="D15" s="18">
        <f>COUNTIFS('Course Videos'!$B$2:$B$79,"2. Reading Data with PySpark",'Course Videos'!$G$2:$G$79,"Completed")</f>
        <v/>
      </c>
      <c r="E15" s="19">
        <f>IFERROR(SUMIF('Course Videos'!$B$2:$B$79,"2. Reading Data with PySpark",'Course Videos'!$F$2:$F$79)/60,0)</f>
        <v/>
      </c>
      <c r="F15" s="20">
        <f>IFERROR(IF(SUMIF('Course Videos'!$B$2:$B$79,"2. Reading Data with PySpark",'Course Videos'!$F$2:$F$79)=0,(COUNTIFS('Course Videos'!$B$2:$B$79,"2. Reading Data with PySpark",'Course Videos'!$G$2:$G$79,"Completed")+0.5*COUNTIFS('Course Videos'!$B$2:$B$79,"2. Reading Data with PySpark",'Course Videos'!$G$2:$G$79,"In Progress"))/COUNTIF('Course Videos'!$B$2:$B$79,"2. Reading Data with PySpark"),(SUMIFS('Course Videos'!$F$2:$F$79,'Course Videos'!$B$2:$B$79,"2. Reading Data with PySpark",'Course Videos'!$G$2:$G$79,"Completed")+0.5*SUMIFS('Course Videos'!$F$2:$F$79,'Course Videos'!$B$2:$B$79,"2. Reading Data with PySpark",'Course Videos'!$G$2:$G$79,"In Progress"))/SUMIF('Course Videos'!$B$2:$B$79,"2. Reading Data with PySpark",'Course Videos'!$F$2:$F$79)),0)</f>
        <v/>
      </c>
    </row>
    <row r="16" ht="19" customHeight="1">
      <c r="B16" s="21" t="inlineStr">
        <is>
          <t>3. Transformations &amp; Performance (PySpark + SQL)</t>
        </is>
      </c>
      <c r="C16" s="22">
        <f>COUNTIF('Course Videos'!$B$2:$B$79,"3. Transformations &amp; Performance (PySpark + SQL)")</f>
        <v/>
      </c>
      <c r="D16" s="22">
        <f>COUNTIFS('Course Videos'!$B$2:$B$79,"3. Transformations &amp; Performance (PySpark + SQL)",'Course Videos'!$G$2:$G$79,"Completed")</f>
        <v/>
      </c>
      <c r="E16" s="23">
        <f>IFERROR(SUMIF('Course Videos'!$B$2:$B$79,"3. Transformations &amp; Performance (PySpark + SQL)",'Course Videos'!$F$2:$F$79)/60,0)</f>
        <v/>
      </c>
      <c r="F16" s="24">
        <f>IFERROR(IF(SUMIF('Course Videos'!$B$2:$B$79,"3. Transformations &amp; Performance (PySpark + SQL)",'Course Videos'!$F$2:$F$79)=0,(COUNTIFS('Course Videos'!$B$2:$B$79,"3. Transformations &amp; Performance (PySpark + SQL)",'Course Videos'!$G$2:$G$79,"Completed")+0.5*COUNTIFS('Course Videos'!$B$2:$B$79,"3. Transformations &amp; Performance (PySpark + SQL)",'Course Videos'!$G$2:$G$79,"In Progress"))/COUNTIF('Course Videos'!$B$2:$B$79,"3. Transformations &amp; Performance (PySpark + SQL)"),(SUMIFS('Course Videos'!$F$2:$F$79,'Course Videos'!$B$2:$B$79,"3. Transformations &amp; Performance (PySpark + SQL)",'Course Videos'!$G$2:$G$79,"Completed")+0.5*SUMIFS('Course Videos'!$F$2:$F$79,'Course Videos'!$B$2:$B$79,"3. Transformations &amp; Performance (PySpark + SQL)",'Course Videos'!$G$2:$G$79,"In Progress"))/SUMIF('Course Videos'!$B$2:$B$79,"3. Transformations &amp; Performance (PySpark + SQL)",'Course Videos'!$F$2:$F$79)),0)</f>
        <v/>
      </c>
    </row>
    <row r="17" ht="19" customHeight="1">
      <c r="B17" s="17" t="inlineStr">
        <is>
          <t>4. Delta Lake &amp; Lakehouse</t>
        </is>
      </c>
      <c r="C17" s="18">
        <f>COUNTIF('Course Videos'!$B$2:$B$79,"4. Delta Lake &amp; Lakehouse")</f>
        <v/>
      </c>
      <c r="D17" s="18">
        <f>COUNTIFS('Course Videos'!$B$2:$B$79,"4. Delta Lake &amp; Lakehouse",'Course Videos'!$G$2:$G$79,"Completed")</f>
        <v/>
      </c>
      <c r="E17" s="19">
        <f>IFERROR(SUMIF('Course Videos'!$B$2:$B$79,"4. Delta Lake &amp; Lakehouse",'Course Videos'!$F$2:$F$79)/60,0)</f>
        <v/>
      </c>
      <c r="F17" s="20">
        <f>IFERROR(IF(SUMIF('Course Videos'!$B$2:$B$79,"4. Delta Lake &amp; Lakehouse",'Course Videos'!$F$2:$F$79)=0,(COUNTIFS('Course Videos'!$B$2:$B$79,"4. Delta Lake &amp; Lakehouse",'Course Videos'!$G$2:$G$79,"Completed")+0.5*COUNTIFS('Course Videos'!$B$2:$B$79,"4. Delta Lake &amp; Lakehouse",'Course Videos'!$G$2:$G$79,"In Progress"))/COUNTIF('Course Videos'!$B$2:$B$79,"4. Delta Lake &amp; Lakehouse"),(SUMIFS('Course Videos'!$F$2:$F$79,'Course Videos'!$B$2:$B$79,"4. Delta Lake &amp; Lakehouse",'Course Videos'!$G$2:$G$79,"Completed")+0.5*SUMIFS('Course Videos'!$F$2:$F$79,'Course Videos'!$B$2:$B$79,"4. Delta Lake &amp; Lakehouse",'Course Videos'!$G$2:$G$79,"In Progress"))/SUMIF('Course Videos'!$B$2:$B$79,"4. Delta Lake &amp; Lakehouse",'Course Videos'!$F$2:$F$79)),0)</f>
        <v/>
      </c>
    </row>
    <row r="18" ht="19" customHeight="1">
      <c r="B18" s="21" t="inlineStr">
        <is>
          <t>5. Milestone: Finance Domain End-to-End Project</t>
        </is>
      </c>
      <c r="C18" s="22">
        <f>COUNTIF('Course Videos'!$B$2:$B$79,"5. Milestone: Finance Domain End-to-End Project")</f>
        <v/>
      </c>
      <c r="D18" s="22">
        <f>COUNTIFS('Course Videos'!$B$2:$B$79,"5. Milestone: Finance Domain End-to-End Project",'Course Videos'!$G$2:$G$79,"Completed")</f>
        <v/>
      </c>
      <c r="E18" s="23">
        <f>IFERROR(SUMIF('Course Videos'!$B$2:$B$79,"5. Milestone: Finance Domain End-to-End Project",'Course Videos'!$F$2:$F$79)/60,0)</f>
        <v/>
      </c>
      <c r="F18" s="24">
        <f>IFERROR(IF(SUMIF('Course Videos'!$B$2:$B$79,"5. Milestone: Finance Domain End-to-End Project",'Course Videos'!$F$2:$F$79)=0,(COUNTIFS('Course Videos'!$B$2:$B$79,"5. Milestone: Finance Domain End-to-End Project",'Course Videos'!$G$2:$G$79,"Completed")+0.5*COUNTIFS('Course Videos'!$B$2:$B$79,"5. Milestone: Finance Domain End-to-End Project",'Course Videos'!$G$2:$G$79,"In Progress"))/COUNTIF('Course Videos'!$B$2:$B$79,"5. Milestone: Finance Domain End-to-End Project"),(SUMIFS('Course Videos'!$F$2:$F$79,'Course Videos'!$B$2:$B$79,"5. Milestone: Finance Domain End-to-End Project",'Course Videos'!$G$2:$G$79,"Completed")+0.5*SUMIFS('Course Videos'!$F$2:$F$79,'Course Videos'!$B$2:$B$79,"5. Milestone: Finance Domain End-to-End Project",'Course Videos'!$G$2:$G$79,"In Progress"))/SUMIF('Course Videos'!$B$2:$B$79,"5. Milestone: Finance Domain End-to-End Project",'Course Videos'!$F$2:$F$79)),0)</f>
        <v/>
      </c>
    </row>
    <row r="19" ht="19" customHeight="1">
      <c r="B19" s="17" t="inlineStr">
        <is>
          <t>6. Python for Data Engineering</t>
        </is>
      </c>
      <c r="C19" s="18">
        <f>COUNTIF('Course Videos'!$B$2:$B$79,"6. Python for Data Engineering")</f>
        <v/>
      </c>
      <c r="D19" s="18">
        <f>COUNTIFS('Course Videos'!$B$2:$B$79,"6. Python for Data Engineering",'Course Videos'!$G$2:$G$79,"Completed")</f>
        <v/>
      </c>
      <c r="E19" s="19">
        <f>IFERROR(SUMIF('Course Videos'!$B$2:$B$79,"6. Python for Data Engineering",'Course Videos'!$F$2:$F$79)/60,0)</f>
        <v/>
      </c>
      <c r="F19" s="20">
        <f>IFERROR(IF(SUMIF('Course Videos'!$B$2:$B$79,"6. Python for Data Engineering",'Course Videos'!$F$2:$F$79)=0,(COUNTIFS('Course Videos'!$B$2:$B$79,"6. Python for Data Engineering",'Course Videos'!$G$2:$G$79,"Completed")+0.5*COUNTIFS('Course Videos'!$B$2:$B$79,"6. Python for Data Engineering",'Course Videos'!$G$2:$G$79,"In Progress"))/COUNTIF('Course Videos'!$B$2:$B$79,"6. Python for Data Engineering"),(SUMIFS('Course Videos'!$F$2:$F$79,'Course Videos'!$B$2:$B$79,"6. Python for Data Engineering",'Course Videos'!$G$2:$G$79,"Completed")+0.5*SUMIFS('Course Videos'!$F$2:$F$79,'Course Videos'!$B$2:$B$79,"6. Python for Data Engineering",'Course Videos'!$G$2:$G$79,"In Progress"))/SUMIF('Course Videos'!$B$2:$B$79,"6. Python for Data Engineering",'Course Videos'!$F$2:$F$79)),0)</f>
        <v/>
      </c>
    </row>
    <row r="20" ht="19" customHeight="1">
      <c r="B20" s="21" t="inlineStr">
        <is>
          <t>7. Databricks Platform Essentials</t>
        </is>
      </c>
      <c r="C20" s="22">
        <f>COUNTIF('Course Videos'!$B$2:$B$79,"7. Databricks Platform Essentials")</f>
        <v/>
      </c>
      <c r="D20" s="22">
        <f>COUNTIFS('Course Videos'!$B$2:$B$79,"7. Databricks Platform Essentials",'Course Videos'!$G$2:$G$79,"Completed")</f>
        <v/>
      </c>
      <c r="E20" s="23">
        <f>IFERROR(SUMIF('Course Videos'!$B$2:$B$79,"7. Databricks Platform Essentials",'Course Videos'!$F$2:$F$79)/60,0)</f>
        <v/>
      </c>
      <c r="F20" s="24">
        <f>IFERROR(IF(SUMIF('Course Videos'!$B$2:$B$79,"7. Databricks Platform Essentials",'Course Videos'!$F$2:$F$79)=0,(COUNTIFS('Course Videos'!$B$2:$B$79,"7. Databricks Platform Essentials",'Course Videos'!$G$2:$G$79,"Completed")+0.5*COUNTIFS('Course Videos'!$B$2:$B$79,"7. Databricks Platform Essentials",'Course Videos'!$G$2:$G$79,"In Progress"))/COUNTIF('Course Videos'!$B$2:$B$79,"7. Databricks Platform Essentials"),(SUMIFS('Course Videos'!$F$2:$F$79,'Course Videos'!$B$2:$B$79,"7. Databricks Platform Essentials",'Course Videos'!$G$2:$G$79,"Completed")+0.5*SUMIFS('Course Videos'!$F$2:$F$79,'Course Videos'!$B$2:$B$79,"7. Databricks Platform Essentials",'Course Videos'!$G$2:$G$79,"In Progress"))/SUMIF('Course Videos'!$B$2:$B$79,"7. Databricks Platform Essentials",'Course Videos'!$F$2:$F$79)),0)</f>
        <v/>
      </c>
    </row>
    <row r="21" ht="19" customHeight="1">
      <c r="B21" s="17" t="inlineStr">
        <is>
          <t>8. Databricks Advanced &amp; Production</t>
        </is>
      </c>
      <c r="C21" s="18">
        <f>COUNTIF('Course Videos'!$B$2:$B$79,"8. Databricks Advanced &amp; Production")</f>
        <v/>
      </c>
      <c r="D21" s="18">
        <f>COUNTIFS('Course Videos'!$B$2:$B$79,"8. Databricks Advanced &amp; Production",'Course Videos'!$G$2:$G$79,"Completed")</f>
        <v/>
      </c>
      <c r="E21" s="19">
        <f>IFERROR(SUMIF('Course Videos'!$B$2:$B$79,"8. Databricks Advanced &amp; Production",'Course Videos'!$F$2:$F$79)/60,0)</f>
        <v/>
      </c>
      <c r="F21" s="20">
        <f>IFERROR(IF(SUMIF('Course Videos'!$B$2:$B$79,"8. Databricks Advanced &amp; Production",'Course Videos'!$F$2:$F$79)=0,(COUNTIFS('Course Videos'!$B$2:$B$79,"8. Databricks Advanced &amp; Production",'Course Videos'!$G$2:$G$79,"Completed")+0.5*COUNTIFS('Course Videos'!$B$2:$B$79,"8. Databricks Advanced &amp; Production",'Course Videos'!$G$2:$G$79,"In Progress"))/COUNTIF('Course Videos'!$B$2:$B$79,"8. Databricks Advanced &amp; Production"),(SUMIFS('Course Videos'!$F$2:$F$79,'Course Videos'!$B$2:$B$79,"8. Databricks Advanced &amp; Production",'Course Videos'!$G$2:$G$79,"Completed")+0.5*SUMIFS('Course Videos'!$F$2:$F$79,'Course Videos'!$B$2:$B$79,"8. Databricks Advanced &amp; Production",'Course Videos'!$G$2:$G$79,"In Progress"))/SUMIF('Course Videos'!$B$2:$B$79,"8. Databricks Advanced &amp; Production",'Course Videos'!$F$2:$F$79)),0)</f>
        <v/>
      </c>
    </row>
    <row r="22" ht="19" customHeight="1">
      <c r="B22" s="21" t="inlineStr">
        <is>
          <t>9. Milestone: Retail Project (Databricks)</t>
        </is>
      </c>
      <c r="C22" s="22">
        <f>COUNTIF('Course Videos'!$B$2:$B$79,"9. Milestone: Retail Project (Databricks)")</f>
        <v/>
      </c>
      <c r="D22" s="22">
        <f>COUNTIFS('Course Videos'!$B$2:$B$79,"9. Milestone: Retail Project (Databricks)",'Course Videos'!$G$2:$G$79,"Completed")</f>
        <v/>
      </c>
      <c r="E22" s="23">
        <f>IFERROR(SUMIF('Course Videos'!$B$2:$B$79,"9. Milestone: Retail Project (Databricks)",'Course Videos'!$F$2:$F$79)/60,0)</f>
        <v/>
      </c>
      <c r="F22" s="24">
        <f>IFERROR(IF(SUMIF('Course Videos'!$B$2:$B$79,"9. Milestone: Retail Project (Databricks)",'Course Videos'!$F$2:$F$79)=0,(COUNTIFS('Course Videos'!$B$2:$B$79,"9. Milestone: Retail Project (Databricks)",'Course Videos'!$G$2:$G$79,"Completed")+0.5*COUNTIFS('Course Videos'!$B$2:$B$79,"9. Milestone: Retail Project (Databricks)",'Course Videos'!$G$2:$G$79,"In Progress"))/COUNTIF('Course Videos'!$B$2:$B$79,"9. Milestone: Retail Project (Databricks)"),(SUMIFS('Course Videos'!$F$2:$F$79,'Course Videos'!$B$2:$B$79,"9. Milestone: Retail Project (Databricks)",'Course Videos'!$G$2:$G$79,"Completed")+0.5*SUMIFS('Course Videos'!$F$2:$F$79,'Course Videos'!$B$2:$B$79,"9. Milestone: Retail Project (Databricks)",'Course Videos'!$G$2:$G$79,"In Progress"))/SUMIF('Course Videos'!$B$2:$B$79,"9. Milestone: Retail Project (Databricks)",'Course Videos'!$F$2:$F$79)),0)</f>
        <v/>
      </c>
    </row>
    <row r="23" ht="19" customHeight="1">
      <c r="B23" s="17" t="inlineStr">
        <is>
          <t>10. Data Modeling &amp; Azure Data Factory</t>
        </is>
      </c>
      <c r="C23" s="18">
        <f>COUNTIF('Course Videos'!$B$2:$B$79,"10. Data Modeling &amp; Azure Data Factory")</f>
        <v/>
      </c>
      <c r="D23" s="18">
        <f>COUNTIFS('Course Videos'!$B$2:$B$79,"10. Data Modeling &amp; Azure Data Factory",'Course Videos'!$G$2:$G$79,"Completed")</f>
        <v/>
      </c>
      <c r="E23" s="19">
        <f>IFERROR(SUMIF('Course Videos'!$B$2:$B$79,"10. Data Modeling &amp; Azure Data Factory",'Course Videos'!$F$2:$F$79)/60,0)</f>
        <v/>
      </c>
      <c r="F23" s="20">
        <f>IFERROR(IF(SUMIF('Course Videos'!$B$2:$B$79,"10. Data Modeling &amp; Azure Data Factory",'Course Videos'!$F$2:$F$79)=0,(COUNTIFS('Course Videos'!$B$2:$B$79,"10. Data Modeling &amp; Azure Data Factory",'Course Videos'!$G$2:$G$79,"Completed")+0.5*COUNTIFS('Course Videos'!$B$2:$B$79,"10. Data Modeling &amp; Azure Data Factory",'Course Videos'!$G$2:$G$79,"In Progress"))/COUNTIF('Course Videos'!$B$2:$B$79,"10. Data Modeling &amp; Azure Data Factory"),(SUMIFS('Course Videos'!$F$2:$F$79,'Course Videos'!$B$2:$B$79,"10. Data Modeling &amp; Azure Data Factory",'Course Videos'!$G$2:$G$79,"Completed")+0.5*SUMIFS('Course Videos'!$F$2:$F$79,'Course Videos'!$B$2:$B$79,"10. Data Modeling &amp; Azure Data Factory",'Course Videos'!$G$2:$G$79,"In Progress"))/SUMIF('Course Videos'!$B$2:$B$79,"10. Data Modeling &amp; Azure Data Factory",'Course Videos'!$F$2:$F$79)),0)</f>
        <v/>
      </c>
    </row>
    <row r="24" ht="19" customHeight="1">
      <c r="B24" s="21" t="inlineStr">
        <is>
          <t>11. Milestone: End-to-End Azure Project</t>
        </is>
      </c>
      <c r="C24" s="22">
        <f>COUNTIF('Course Videos'!$B$2:$B$79,"11. Milestone: End-to-End Azure Project")</f>
        <v/>
      </c>
      <c r="D24" s="22">
        <f>COUNTIFS('Course Videos'!$B$2:$B$79,"11. Milestone: End-to-End Azure Project",'Course Videos'!$G$2:$G$79,"Completed")</f>
        <v/>
      </c>
      <c r="E24" s="23">
        <f>IFERROR(SUMIF('Course Videos'!$B$2:$B$79,"11. Milestone: End-to-End Azure Project",'Course Videos'!$F$2:$F$79)/60,0)</f>
        <v/>
      </c>
      <c r="F24" s="24">
        <f>IFERROR(IF(SUMIF('Course Videos'!$B$2:$B$79,"11. Milestone: End-to-End Azure Project",'Course Videos'!$F$2:$F$79)=0,(COUNTIFS('Course Videos'!$B$2:$B$79,"11. Milestone: End-to-End Azure Project",'Course Videos'!$G$2:$G$79,"Completed")+0.5*COUNTIFS('Course Videos'!$B$2:$B$79,"11. Milestone: End-to-End Azure Project",'Course Videos'!$G$2:$G$79,"In Progress"))/COUNTIF('Course Videos'!$B$2:$B$79,"11. Milestone: End-to-End Azure Project"),(SUMIFS('Course Videos'!$F$2:$F$79,'Course Videos'!$B$2:$B$79,"11. Milestone: End-to-End Azure Project",'Course Videos'!$G$2:$G$79,"Completed")+0.5*SUMIFS('Course Videos'!$F$2:$F$79,'Course Videos'!$B$2:$B$79,"11. Milestone: End-to-End Azure Project",'Course Videos'!$G$2:$G$79,"In Progress"))/SUMIF('Course Videos'!$B$2:$B$79,"11. Milestone: End-to-End Azure Project",'Course Videos'!$F$2:$F$79)),0)</f>
        <v/>
      </c>
    </row>
    <row r="25" ht="19" customHeight="1">
      <c r="B25" s="17" t="inlineStr">
        <is>
          <t>12. Interview Prep &amp; Career</t>
        </is>
      </c>
      <c r="C25" s="18">
        <f>COUNTIF('Course Videos'!$B$2:$B$79,"12. Interview Prep &amp; Career")</f>
        <v/>
      </c>
      <c r="D25" s="18">
        <f>COUNTIFS('Course Videos'!$B$2:$B$79,"12. Interview Prep &amp; Career",'Course Videos'!$G$2:$G$79,"Completed")</f>
        <v/>
      </c>
      <c r="E25" s="19">
        <f>IFERROR(SUMIF('Course Videos'!$B$2:$B$79,"12. Interview Prep &amp; Career",'Course Videos'!$F$2:$F$79)/60,0)</f>
        <v/>
      </c>
      <c r="F25" s="20">
        <f>IFERROR(IF(SUMIF('Course Videos'!$B$2:$B$79,"12. Interview Prep &amp; Career",'Course Videos'!$F$2:$F$79)=0,(COUNTIFS('Course Videos'!$B$2:$B$79,"12. Interview Prep &amp; Career",'Course Videos'!$G$2:$G$79,"Completed")+0.5*COUNTIFS('Course Videos'!$B$2:$B$79,"12. Interview Prep &amp; Career",'Course Videos'!$G$2:$G$79,"In Progress"))/COUNTIF('Course Videos'!$B$2:$B$79,"12. Interview Prep &amp; Career"),(SUMIFS('Course Videos'!$F$2:$F$79,'Course Videos'!$B$2:$B$79,"12. Interview Prep &amp; Career",'Course Videos'!$G$2:$G$79,"Completed")+0.5*SUMIFS('Course Videos'!$F$2:$F$79,'Course Videos'!$B$2:$B$79,"12. Interview Prep &amp; Career",'Course Videos'!$G$2:$G$79,"In Progress"))/SUMIF('Course Videos'!$B$2:$B$79,"12. Interview Prep &amp; Career",'Course Videos'!$F$2:$F$79)),0)</f>
        <v/>
      </c>
    </row>
    <row r="27">
      <c r="B27" s="25" t="inlineStr">
        <is>
          <t>HOW TO USE</t>
        </is>
      </c>
    </row>
    <row r="28" ht="26" customHeight="1">
      <c r="B28" s="26" t="inlineStr">
        <is>
          <t>•  Open the 'Course Videos' tab and set Completion Status from the dropdown. Everything on this page updates itself.</t>
        </is>
      </c>
    </row>
    <row r="29" ht="26" customHeight="1">
      <c r="B29" s="26" t="inlineStr">
        <is>
          <t>•  Progress is weighted by video length, so finishing a 6-hour course moves the bar far more than a 3-minute explainer.</t>
        </is>
      </c>
    </row>
    <row r="30" ht="26" customHeight="1">
      <c r="B30" s="26" t="inlineStr">
        <is>
          <t>•  A video marked In Progress counts as half complete.</t>
        </is>
      </c>
    </row>
    <row r="31" ht="26" customHeight="1">
      <c r="B31" s="26" t="inlineStr">
        <is>
          <t>•  Only Completion Status, Date Completed and Notes are editable. The rest is locked so a stray edit cannot break the formulas (Review &gt; Unprotect Sheet if you want to change something).</t>
        </is>
      </c>
    </row>
    <row r="32" ht="26" customHeight="1">
      <c r="B32" s="26" t="inlineStr">
        <is>
          <t>•  Row 1 is the course intro video, added once it is published.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B4:F4"/>
    <mergeCell ref="B30:F30"/>
    <mergeCell ref="B29:F29"/>
    <mergeCell ref="B2:F2"/>
    <mergeCell ref="B32:F32"/>
    <mergeCell ref="B28:F28"/>
    <mergeCell ref="B3:F3"/>
    <mergeCell ref="B31:F31"/>
    <mergeCell ref="B6:C8"/>
    <mergeCell ref="B9:C9"/>
    <mergeCell ref="B10:E10"/>
  </mergeCells>
  <conditionalFormatting sqref="F13:F25">
    <cfRule type="dataBar" priority="1">
      <dataBar showValue="1">
        <cfvo type="num" val="0"/>
        <cfvo type="num" val="1"/>
        <color rgb="002E7D6B"/>
      </dataBar>
    </cfRule>
  </conditionalFormatting>
  <hyperlinks>
    <hyperlink xmlns:r="http://schemas.openxmlformats.org/officeDocument/2006/relationships" ref="B4" r:id="rId1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hidden="1" width="36" customWidth="1" min="2" max="2"/>
    <col width="96" customWidth="1" min="3" max="3"/>
    <col width="20" customWidth="1" min="4" max="4"/>
    <col width="14" customWidth="1" min="5" max="5"/>
    <col width="14" customWidth="1" min="6" max="6"/>
    <col width="18" customWidth="1" min="7" max="7"/>
    <col width="15" customWidth="1" min="8" max="8"/>
    <col width="34" customWidth="1" min="9" max="9"/>
  </cols>
  <sheetData>
    <row r="1" ht="34" customHeight="1">
      <c r="A1" s="27" t="inlineStr">
        <is>
          <t>Sr No</t>
        </is>
      </c>
      <c r="B1" s="27" t="inlineStr">
        <is>
          <t>Section</t>
        </is>
      </c>
      <c r="C1" s="27" t="inlineStr">
        <is>
          <t>Video Title</t>
        </is>
      </c>
      <c r="D1" s="27" t="inlineStr">
        <is>
          <t>Video URL</t>
        </is>
      </c>
      <c r="E1" s="27" t="inlineStr">
        <is>
          <t>Updated Date</t>
        </is>
      </c>
      <c r="F1" s="27" t="inlineStr">
        <is>
          <t>Duration (min)</t>
        </is>
      </c>
      <c r="G1" s="27" t="inlineStr">
        <is>
          <t>Completion Status</t>
        </is>
      </c>
      <c r="H1" s="27" t="inlineStr">
        <is>
          <t>Date Completed</t>
        </is>
      </c>
      <c r="I1" s="27" t="inlineStr">
        <is>
          <t>Notes</t>
        </is>
      </c>
    </row>
    <row r="2" ht="24" customHeight="1">
      <c r="A2" s="28" t="inlineStr">
        <is>
          <t>0. START HERE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</row>
    <row r="3" ht="18" customHeight="1">
      <c r="A3" s="18" t="n">
        <v>1</v>
      </c>
      <c r="B3" s="30" t="inlineStr">
        <is>
          <t>0. Start Here</t>
        </is>
      </c>
      <c r="C3" s="31" t="inlineStr">
        <is>
          <t>Course Introduction - How to Use This Roadmap</t>
        </is>
      </c>
      <c r="D3" s="32" t="inlineStr">
        <is>
          <t>(link to be added)</t>
        </is>
      </c>
      <c r="E3" s="33" t="n">
        <v>46294</v>
      </c>
      <c r="F3" s="19" t="n"/>
      <c r="G3" s="34" t="inlineStr">
        <is>
          <t>Not Started</t>
        </is>
      </c>
      <c r="H3" s="35" t="n"/>
      <c r="I3" s="36" t="n"/>
    </row>
    <row r="4" ht="24" customHeight="1">
      <c r="A4" s="28" t="inlineStr">
        <is>
          <t>1. SPARK FOUNDATIONS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</row>
    <row r="5" ht="18" customHeight="1">
      <c r="A5" s="18" t="n">
        <v>2</v>
      </c>
      <c r="B5" s="30" t="inlineStr">
        <is>
          <t>1. Spark Foundations</t>
        </is>
      </c>
      <c r="C5" s="31" t="inlineStr">
        <is>
          <t>02 | History of Spark, Databricks, Big Data &amp; Hadoop</t>
        </is>
      </c>
      <c r="D5" s="37" t="inlineStr">
        <is>
          <t>Watch on YouTube</t>
        </is>
      </c>
      <c r="E5" s="33" t="n">
        <v>46294</v>
      </c>
      <c r="F5" s="19" t="n">
        <v>6.5</v>
      </c>
      <c r="G5" s="34" t="inlineStr">
        <is>
          <t>Not Started</t>
        </is>
      </c>
      <c r="H5" s="35" t="n"/>
      <c r="I5" s="36" t="n"/>
    </row>
    <row r="6" ht="18" customHeight="1">
      <c r="A6" s="18" t="n">
        <v>3</v>
      </c>
      <c r="B6" s="30" t="inlineStr">
        <is>
          <t>1. Spark Foundations</t>
        </is>
      </c>
      <c r="C6" s="31" t="inlineStr">
        <is>
          <t>03 | What is Apache Spark?</t>
        </is>
      </c>
      <c r="D6" s="37" t="inlineStr">
        <is>
          <t>Watch on YouTube</t>
        </is>
      </c>
      <c r="E6" s="33" t="n">
        <v>46294</v>
      </c>
      <c r="F6" s="19" t="n">
        <v>3.1</v>
      </c>
      <c r="G6" s="34" t="inlineStr">
        <is>
          <t>Not Started</t>
        </is>
      </c>
      <c r="H6" s="35" t="n"/>
      <c r="I6" s="36" t="n"/>
    </row>
    <row r="7" ht="18" customHeight="1">
      <c r="A7" s="18" t="n">
        <v>4</v>
      </c>
      <c r="B7" s="30" t="inlineStr">
        <is>
          <t>1. Spark Foundations</t>
        </is>
      </c>
      <c r="C7" s="31" t="inlineStr">
        <is>
          <t>04 | Apache Spark Architecture Explained</t>
        </is>
      </c>
      <c r="D7" s="37" t="inlineStr">
        <is>
          <t>Watch on YouTube</t>
        </is>
      </c>
      <c r="E7" s="33" t="n">
        <v>46294</v>
      </c>
      <c r="F7" s="19" t="n">
        <v>8.800000000000001</v>
      </c>
      <c r="G7" s="34" t="inlineStr">
        <is>
          <t>Not Started</t>
        </is>
      </c>
      <c r="H7" s="35" t="n"/>
      <c r="I7" s="36" t="n"/>
    </row>
    <row r="8" ht="18" customHeight="1">
      <c r="A8" s="18" t="n">
        <v>5</v>
      </c>
      <c r="B8" s="30" t="inlineStr">
        <is>
          <t>1. Spark Foundations</t>
        </is>
      </c>
      <c r="C8" s="31" t="inlineStr">
        <is>
          <t>05 | Spark Deployment Modes Explained | Local, Client &amp; Cluster</t>
        </is>
      </c>
      <c r="D8" s="37" t="inlineStr">
        <is>
          <t>Watch on YouTube</t>
        </is>
      </c>
      <c r="E8" s="33" t="n">
        <v>46294</v>
      </c>
      <c r="F8" s="19" t="n">
        <v>3.3</v>
      </c>
      <c r="G8" s="34" t="inlineStr">
        <is>
          <t>Not Started</t>
        </is>
      </c>
      <c r="H8" s="35" t="n"/>
      <c r="I8" s="36" t="n"/>
    </row>
    <row r="9" ht="18" customHeight="1">
      <c r="A9" s="18" t="n">
        <v>6</v>
      </c>
      <c r="B9" s="30" t="inlineStr">
        <is>
          <t>1. Spark Foundations</t>
        </is>
      </c>
      <c r="C9" s="31" t="inlineStr">
        <is>
          <t>06 | Databricks Free Account Setup &amp; Hands-On Tutorial</t>
        </is>
      </c>
      <c r="D9" s="37" t="inlineStr">
        <is>
          <t>Watch on YouTube</t>
        </is>
      </c>
      <c r="E9" s="33" t="n">
        <v>46294</v>
      </c>
      <c r="F9" s="19" t="n">
        <v>11.4</v>
      </c>
      <c r="G9" s="34" t="inlineStr">
        <is>
          <t>Not Started</t>
        </is>
      </c>
      <c r="H9" s="35" t="n"/>
      <c r="I9" s="36" t="n"/>
    </row>
    <row r="10" ht="18" customHeight="1">
      <c r="A10" s="18" t="n">
        <v>7</v>
      </c>
      <c r="B10" s="30" t="inlineStr">
        <is>
          <t>1. Spark Foundations</t>
        </is>
      </c>
      <c r="C10" s="31" t="inlineStr">
        <is>
          <t>07 | Apache Spark APIs Explained | RDDs, DataFrames, Datasets, SQL &amp; More</t>
        </is>
      </c>
      <c r="D10" s="37" t="inlineStr">
        <is>
          <t>Watch on YouTube</t>
        </is>
      </c>
      <c r="E10" s="33" t="n">
        <v>46294</v>
      </c>
      <c r="F10" s="19" t="n">
        <v>3.7</v>
      </c>
      <c r="G10" s="34" t="inlineStr">
        <is>
          <t>Not Started</t>
        </is>
      </c>
      <c r="H10" s="35" t="n"/>
      <c r="I10" s="36" t="n"/>
    </row>
    <row r="11" ht="24" customHeight="1">
      <c r="A11" s="28" t="inlineStr">
        <is>
          <t>2. READING DATA WITH PYSPARK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 ht="18" customHeight="1">
      <c r="A12" s="18" t="n">
        <v>8</v>
      </c>
      <c r="B12" s="30" t="inlineStr">
        <is>
          <t>2. Reading Data with PySpark</t>
        </is>
      </c>
      <c r="C12" s="31" t="inlineStr">
        <is>
          <t>08 | Read CSV Files in Spark | Handle Delimiters, Quotes, Escapes &amp; Multi-Line Records</t>
        </is>
      </c>
      <c r="D12" s="37" t="inlineStr">
        <is>
          <t>Watch on YouTube</t>
        </is>
      </c>
      <c r="E12" s="33" t="n">
        <v>46294</v>
      </c>
      <c r="F12" s="19" t="n">
        <v>17.4</v>
      </c>
      <c r="G12" s="34" t="inlineStr">
        <is>
          <t>Not Started</t>
        </is>
      </c>
      <c r="H12" s="35" t="n"/>
      <c r="I12" s="36" t="n"/>
    </row>
    <row r="13" ht="18" customHeight="1">
      <c r="A13" s="18" t="n">
        <v>9</v>
      </c>
      <c r="B13" s="30" t="inlineStr">
        <is>
          <t>2. Reading Data with PySpark</t>
        </is>
      </c>
      <c r="C13" s="31" t="inlineStr">
        <is>
          <t>09 | Read JSON Files in Spark | Handle Single-Line and Multi-Line JSON in PySpark</t>
        </is>
      </c>
      <c r="D13" s="37" t="inlineStr">
        <is>
          <t>Watch on YouTube</t>
        </is>
      </c>
      <c r="E13" s="33" t="n">
        <v>46294</v>
      </c>
      <c r="F13" s="19" t="n">
        <v>6.8</v>
      </c>
      <c r="G13" s="34" t="inlineStr">
        <is>
          <t>Not Started</t>
        </is>
      </c>
      <c r="H13" s="35" t="n"/>
      <c r="I13" s="36" t="n"/>
    </row>
    <row r="14" ht="18" customHeight="1">
      <c r="A14" s="18" t="n">
        <v>10</v>
      </c>
      <c r="B14" s="30" t="inlineStr">
        <is>
          <t>2. Reading Data with PySpark</t>
        </is>
      </c>
      <c r="C14" s="31" t="inlineStr">
        <is>
          <t>Parquet Explained in Depth with PySpark | Internals, Columnar Format, Footers</t>
        </is>
      </c>
      <c r="D14" s="37" t="inlineStr">
        <is>
          <t>Watch on YouTube</t>
        </is>
      </c>
      <c r="E14" s="33" t="n">
        <v>46294</v>
      </c>
      <c r="F14" s="19" t="n">
        <v>13.1</v>
      </c>
      <c r="G14" s="34" t="inlineStr">
        <is>
          <t>Not Started</t>
        </is>
      </c>
      <c r="H14" s="35" t="n"/>
      <c r="I14" s="36" t="n"/>
    </row>
    <row r="15" ht="18" customHeight="1">
      <c r="A15" s="18" t="n">
        <v>11</v>
      </c>
      <c r="B15" s="30" t="inlineStr">
        <is>
          <t>2. Reading Data with PySpark</t>
        </is>
      </c>
      <c r="C15" s="31" t="inlineStr">
        <is>
          <t>Handle Corrupted Data in PySpark | Read Modes Explained</t>
        </is>
      </c>
      <c r="D15" s="37" t="inlineStr">
        <is>
          <t>Watch on YouTube</t>
        </is>
      </c>
      <c r="E15" s="33" t="n">
        <v>46294</v>
      </c>
      <c r="F15" s="19" t="n">
        <v>14.2</v>
      </c>
      <c r="G15" s="34" t="inlineStr">
        <is>
          <t>Not Started</t>
        </is>
      </c>
      <c r="H15" s="35" t="n"/>
      <c r="I15" s="36" t="n"/>
    </row>
    <row r="16" ht="18" customHeight="1">
      <c r="A16" s="18" t="n">
        <v>12</v>
      </c>
      <c r="B16" s="30" t="inlineStr">
        <is>
          <t>2. Reading Data with PySpark</t>
        </is>
      </c>
      <c r="C16" s="31" t="inlineStr">
        <is>
          <t>Read Unstructured Data in PySpark | Text and Binary Files in Spark | Databricks Tutorial</t>
        </is>
      </c>
      <c r="D16" s="37" t="inlineStr">
        <is>
          <t>Watch on YouTube</t>
        </is>
      </c>
      <c r="E16" s="33" t="n">
        <v>46294</v>
      </c>
      <c r="F16" s="19" t="n">
        <v>8.300000000000001</v>
      </c>
      <c r="G16" s="34" t="inlineStr">
        <is>
          <t>Not Started</t>
        </is>
      </c>
      <c r="H16" s="35" t="n"/>
      <c r="I16" s="36" t="n"/>
    </row>
    <row r="17" ht="18" customHeight="1">
      <c r="A17" s="18" t="n">
        <v>13</v>
      </c>
      <c r="B17" s="30" t="inlineStr">
        <is>
          <t>2. Reading Data with PySpark</t>
        </is>
      </c>
      <c r="C17" s="31" t="inlineStr">
        <is>
          <t>Connect to JDBC Data Sources in PySpark | Databricks SQL Warehouse Connection Tutorial</t>
        </is>
      </c>
      <c r="D17" s="37" t="inlineStr">
        <is>
          <t>Watch on YouTube</t>
        </is>
      </c>
      <c r="E17" s="33" t="n">
        <v>46294</v>
      </c>
      <c r="F17" s="19" t="n">
        <v>7.8</v>
      </c>
      <c r="G17" s="34" t="inlineStr">
        <is>
          <t>Not Started</t>
        </is>
      </c>
      <c r="H17" s="35" t="n"/>
      <c r="I17" s="36" t="n"/>
    </row>
    <row r="18" ht="24" customHeight="1">
      <c r="A18" s="28" t="inlineStr">
        <is>
          <t>3. TRANSFORMATIONS &amp; PERFORMANCE (PYSPARK + SQL)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</row>
    <row r="19" ht="18" customHeight="1">
      <c r="A19" s="18" t="n">
        <v>14</v>
      </c>
      <c r="B19" s="30" t="inlineStr">
        <is>
          <t>3. Transformations &amp; Performance (PySpark + SQL)</t>
        </is>
      </c>
      <c r="C19" s="31" t="inlineStr">
        <is>
          <t>PySpark - Narrow and Wide Transformation, Action, Lazy Evaluation &amp; Shuffling</t>
        </is>
      </c>
      <c r="D19" s="37" t="inlineStr">
        <is>
          <t>Watch on YouTube</t>
        </is>
      </c>
      <c r="E19" s="33" t="n">
        <v>46294</v>
      </c>
      <c r="F19" s="19" t="n">
        <v>6.5</v>
      </c>
      <c r="G19" s="34" t="inlineStr">
        <is>
          <t>Not Started</t>
        </is>
      </c>
      <c r="H19" s="35" t="n"/>
      <c r="I19" s="36" t="n"/>
    </row>
    <row r="20" ht="18" customHeight="1">
      <c r="A20" s="18" t="n">
        <v>15</v>
      </c>
      <c r="B20" s="30" t="inlineStr">
        <is>
          <t>3. Transformations &amp; Performance (PySpark + SQL)</t>
        </is>
      </c>
      <c r="C20" s="31" t="inlineStr">
        <is>
          <t>Common Transformations in PySpark &amp; SQL | Select, Filter, Distinct, Union, Repartition vs Coalesce</t>
        </is>
      </c>
      <c r="D20" s="37" t="inlineStr">
        <is>
          <t>Watch on YouTube</t>
        </is>
      </c>
      <c r="E20" s="33" t="n">
        <v>46294</v>
      </c>
      <c r="F20" s="19" t="n">
        <v>34.6</v>
      </c>
      <c r="G20" s="34" t="inlineStr">
        <is>
          <t>Not Started</t>
        </is>
      </c>
      <c r="H20" s="35" t="n"/>
      <c r="I20" s="36" t="n"/>
    </row>
    <row r="21" ht="18" customHeight="1">
      <c r="A21" s="18" t="n">
        <v>16</v>
      </c>
      <c r="B21" s="30" t="inlineStr">
        <is>
          <t>3. Transformations &amp; Performance (PySpark + SQL)</t>
        </is>
      </c>
      <c r="C21" s="31" t="inlineStr">
        <is>
          <t>Working with Numbers, Strings, Dates &amp; Nulls in PySpark</t>
        </is>
      </c>
      <c r="D21" s="37" t="inlineStr">
        <is>
          <t>Watch on YouTube</t>
        </is>
      </c>
      <c r="E21" s="33" t="n">
        <v>46294</v>
      </c>
      <c r="F21" s="19" t="n">
        <v>21.6</v>
      </c>
      <c r="G21" s="34" t="inlineStr">
        <is>
          <t>Not Started</t>
        </is>
      </c>
      <c r="H21" s="35" t="n"/>
      <c r="I21" s="36" t="n"/>
    </row>
    <row r="22" ht="18" customHeight="1">
      <c r="A22" s="18" t="n">
        <v>17</v>
      </c>
      <c r="B22" s="30" t="inlineStr">
        <is>
          <t>3. Transformations &amp; Performance (PySpark + SQL)</t>
        </is>
      </c>
      <c r="C22" s="31" t="inlineStr">
        <is>
          <t>Spark Execution Plan Explained | Logical Plan, Catalyst Optimizer &amp; Physical Plan in PySpark</t>
        </is>
      </c>
      <c r="D22" s="37" t="inlineStr">
        <is>
          <t>Watch on YouTube</t>
        </is>
      </c>
      <c r="E22" s="33" t="n">
        <v>46294</v>
      </c>
      <c r="F22" s="19" t="n">
        <v>6.8</v>
      </c>
      <c r="G22" s="34" t="inlineStr">
        <is>
          <t>Not Started</t>
        </is>
      </c>
      <c r="H22" s="35" t="n"/>
      <c r="I22" s="36" t="n"/>
    </row>
    <row r="23" ht="18" customHeight="1">
      <c r="A23" s="18" t="n">
        <v>18</v>
      </c>
      <c r="B23" s="30" t="inlineStr">
        <is>
          <t>3. Transformations &amp; Performance (PySpark + SQL)</t>
        </is>
      </c>
      <c r="C23" s="31" t="inlineStr">
        <is>
          <t>PySpark Aggregations Explained | Group By, Having, Collect Set, and Window Functions in Databricks</t>
        </is>
      </c>
      <c r="D23" s="37" t="inlineStr">
        <is>
          <t>Watch on YouTube</t>
        </is>
      </c>
      <c r="E23" s="33" t="n">
        <v>46294</v>
      </c>
      <c r="F23" s="19" t="n">
        <v>23</v>
      </c>
      <c r="G23" s="34" t="inlineStr">
        <is>
          <t>Not Started</t>
        </is>
      </c>
      <c r="H23" s="35" t="n"/>
      <c r="I23" s="36" t="n"/>
    </row>
    <row r="24" ht="18" customHeight="1">
      <c r="A24" s="18" t="n">
        <v>19</v>
      </c>
      <c r="B24" s="30" t="inlineStr">
        <is>
          <t>3. Transformations &amp; Performance (PySpark + SQL)</t>
        </is>
      </c>
      <c r="C24" s="31" t="inlineStr">
        <is>
          <t>Work with Arrays, Structs &amp; JSON Handling PySpark</t>
        </is>
      </c>
      <c r="D24" s="37" t="inlineStr">
        <is>
          <t>Watch on YouTube</t>
        </is>
      </c>
      <c r="E24" s="33" t="n">
        <v>46294</v>
      </c>
      <c r="F24" s="19" t="n">
        <v>13.6</v>
      </c>
      <c r="G24" s="34" t="inlineStr">
        <is>
          <t>Not Started</t>
        </is>
      </c>
      <c r="H24" s="35" t="n"/>
      <c r="I24" s="36" t="n"/>
    </row>
    <row r="25" ht="18" customHeight="1">
      <c r="A25" s="18" t="n">
        <v>20</v>
      </c>
      <c r="B25" s="30" t="inlineStr">
        <is>
          <t>3. Transformations &amp; Performance (PySpark + SQL)</t>
        </is>
      </c>
      <c r="C25" s="31" t="inlineStr">
        <is>
          <t>PySpark Joins Explained | Inner, Outer, Left, Right, Semi &amp; Cross Joins in Databricks</t>
        </is>
      </c>
      <c r="D25" s="37" t="inlineStr">
        <is>
          <t>Watch on YouTube</t>
        </is>
      </c>
      <c r="E25" s="33" t="n">
        <v>46294</v>
      </c>
      <c r="F25" s="19" t="n">
        <v>14.6</v>
      </c>
      <c r="G25" s="34" t="inlineStr">
        <is>
          <t>Not Started</t>
        </is>
      </c>
      <c r="H25" s="35" t="n"/>
      <c r="I25" s="36" t="n"/>
    </row>
    <row r="26" ht="18" customHeight="1">
      <c r="A26" s="18" t="n">
        <v>21</v>
      </c>
      <c r="B26" s="30" t="inlineStr">
        <is>
          <t>3. Transformations &amp; Performance (PySpark + SQL)</t>
        </is>
      </c>
      <c r="C26" s="31" t="inlineStr">
        <is>
          <t>Broadcast Join vs Shuffle Hash Join Explained | PySpark Join Strategies in Databricks</t>
        </is>
      </c>
      <c r="D26" s="37" t="inlineStr">
        <is>
          <t>Watch on YouTube</t>
        </is>
      </c>
      <c r="E26" s="33" t="n">
        <v>46294</v>
      </c>
      <c r="F26" s="19" t="n">
        <v>13.7</v>
      </c>
      <c r="G26" s="34" t="inlineStr">
        <is>
          <t>Not Started</t>
        </is>
      </c>
      <c r="H26" s="35" t="n"/>
      <c r="I26" s="36" t="n"/>
    </row>
    <row r="27" ht="18" customHeight="1">
      <c r="A27" s="18" t="n">
        <v>22</v>
      </c>
      <c r="B27" s="30" t="inlineStr">
        <is>
          <t>3. Transformations &amp; Performance (PySpark + SQL)</t>
        </is>
      </c>
      <c r="C27" s="31" t="inlineStr">
        <is>
          <t>Understanding Spark UI in Depth | Jobs, Stages, Tasks Explained in PySpark and Databricks</t>
        </is>
      </c>
      <c r="D27" s="37" t="inlineStr">
        <is>
          <t>Watch on YouTube</t>
        </is>
      </c>
      <c r="E27" s="33" t="n">
        <v>46294</v>
      </c>
      <c r="F27" s="19" t="n">
        <v>18.9</v>
      </c>
      <c r="G27" s="34" t="inlineStr">
        <is>
          <t>Not Started</t>
        </is>
      </c>
      <c r="H27" s="35" t="n"/>
      <c r="I27" s="36" t="n"/>
    </row>
    <row r="28" ht="18" customHeight="1">
      <c r="A28" s="18" t="n">
        <v>23</v>
      </c>
      <c r="B28" s="30" t="inlineStr">
        <is>
          <t>3. Transformations &amp; Performance (PySpark + SQL)</t>
        </is>
      </c>
      <c r="C28" s="31" t="inlineStr">
        <is>
          <t>PySpark Cache vs Persist Explained | Storage Levels &amp; Performance Optimization using Spark UI</t>
        </is>
      </c>
      <c r="D28" s="37" t="inlineStr">
        <is>
          <t>Watch on YouTube</t>
        </is>
      </c>
      <c r="E28" s="33" t="n">
        <v>46294</v>
      </c>
      <c r="F28" s="19" t="n">
        <v>14.9</v>
      </c>
      <c r="G28" s="34" t="inlineStr">
        <is>
          <t>Not Started</t>
        </is>
      </c>
      <c r="H28" s="35" t="n"/>
      <c r="I28" s="36" t="n"/>
    </row>
    <row r="29" ht="18" customHeight="1">
      <c r="A29" s="18" t="n">
        <v>24</v>
      </c>
      <c r="B29" s="30" t="inlineStr">
        <is>
          <t>3. Transformations &amp; Performance (PySpark + SQL)</t>
        </is>
      </c>
      <c r="C29" s="31" t="inlineStr">
        <is>
          <t>PySpark Write Modes, File Formats &amp; Partitioning Explained</t>
        </is>
      </c>
      <c r="D29" s="37" t="inlineStr">
        <is>
          <t>Watch on YouTube</t>
        </is>
      </c>
      <c r="E29" s="33" t="n">
        <v>46294</v>
      </c>
      <c r="F29" s="19" t="n">
        <v>14.2</v>
      </c>
      <c r="G29" s="34" t="inlineStr">
        <is>
          <t>Not Started</t>
        </is>
      </c>
      <c r="H29" s="35" t="n"/>
      <c r="I29" s="36" t="n"/>
    </row>
    <row r="30" ht="18" customHeight="1">
      <c r="A30" s="18" t="n">
        <v>25</v>
      </c>
      <c r="B30" s="30" t="inlineStr">
        <is>
          <t>3. Transformations &amp; Performance (PySpark + SQL)</t>
        </is>
      </c>
      <c r="C30" s="31" t="inlineStr">
        <is>
          <t>Merge Operation Explained in PySpark | Insert, Update &amp; Delete Data</t>
        </is>
      </c>
      <c r="D30" s="37" t="inlineStr">
        <is>
          <t>Watch on YouTube</t>
        </is>
      </c>
      <c r="E30" s="33" t="n">
        <v>46294</v>
      </c>
      <c r="F30" s="19" t="n">
        <v>11.6</v>
      </c>
      <c r="G30" s="34" t="inlineStr">
        <is>
          <t>Not Started</t>
        </is>
      </c>
      <c r="H30" s="35" t="n"/>
      <c r="I30" s="36" t="n"/>
    </row>
    <row r="31" ht="18" customHeight="1">
      <c r="A31" s="18" t="n">
        <v>26</v>
      </c>
      <c r="B31" s="30" t="inlineStr">
        <is>
          <t>3. Transformations &amp; Performance (PySpark + SQL)</t>
        </is>
      </c>
      <c r="C31" s="31" t="inlineStr">
        <is>
          <t>PySpark UDF Explained | Use Same UDF in PySpark, Scala &amp; SQL</t>
        </is>
      </c>
      <c r="D31" s="37" t="inlineStr">
        <is>
          <t>Watch on YouTube</t>
        </is>
      </c>
      <c r="E31" s="33" t="n">
        <v>46294</v>
      </c>
      <c r="F31" s="19" t="n">
        <v>9.800000000000001</v>
      </c>
      <c r="G31" s="34" t="inlineStr">
        <is>
          <t>Not Started</t>
        </is>
      </c>
      <c r="H31" s="35" t="n"/>
      <c r="I31" s="36" t="n"/>
    </row>
    <row r="32" ht="18" customHeight="1">
      <c r="A32" s="18" t="n">
        <v>27</v>
      </c>
      <c r="B32" s="30" t="inlineStr">
        <is>
          <t>3. Transformations &amp; Performance (PySpark + SQL)</t>
        </is>
      </c>
      <c r="C32" s="31" t="inlineStr">
        <is>
          <t>Spark Interview Questions &amp; Answers | Crack Data Engineering Interviews Easily</t>
        </is>
      </c>
      <c r="D32" s="37" t="inlineStr">
        <is>
          <t>Watch on YouTube</t>
        </is>
      </c>
      <c r="E32" s="33" t="n">
        <v>46294</v>
      </c>
      <c r="F32" s="19" t="n">
        <v>58.9</v>
      </c>
      <c r="G32" s="34" t="inlineStr">
        <is>
          <t>Not Started</t>
        </is>
      </c>
      <c r="H32" s="35" t="n"/>
      <c r="I32" s="36" t="n"/>
    </row>
    <row r="33" ht="24" customHeight="1">
      <c r="A33" s="28" t="inlineStr">
        <is>
          <t>4. DELTA LAKE &amp; LAKEHOUSE</t>
        </is>
      </c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 ht="18" customHeight="1">
      <c r="A34" s="18" t="n">
        <v>28</v>
      </c>
      <c r="B34" s="30" t="inlineStr">
        <is>
          <t>4. Delta Lake &amp; Lakehouse</t>
        </is>
      </c>
      <c r="C34" s="31" t="inlineStr">
        <is>
          <t>Delta Lake Deepest Dive: Features and Hands-On Demo</t>
        </is>
      </c>
      <c r="D34" s="37" t="inlineStr">
        <is>
          <t>Watch on YouTube</t>
        </is>
      </c>
      <c r="E34" s="33" t="n">
        <v>46294</v>
      </c>
      <c r="F34" s="19" t="n">
        <v>29</v>
      </c>
      <c r="G34" s="34" t="inlineStr">
        <is>
          <t>Not Started</t>
        </is>
      </c>
      <c r="H34" s="35" t="n"/>
      <c r="I34" s="36" t="n"/>
    </row>
    <row r="35" ht="18" customHeight="1">
      <c r="A35" s="18" t="n">
        <v>29</v>
      </c>
      <c r="B35" s="30" t="inlineStr">
        <is>
          <t>4. Delta Lake &amp; Lakehouse</t>
        </is>
      </c>
      <c r="C35" s="31" t="inlineStr">
        <is>
          <t>OPTIMIZE, ZORDER AND VACUUM in Delta Lake | Deep Dive with Demo</t>
        </is>
      </c>
      <c r="D35" s="37" t="inlineStr">
        <is>
          <t>Watch on YouTube</t>
        </is>
      </c>
      <c r="E35" s="33" t="n">
        <v>46294</v>
      </c>
      <c r="F35" s="19" t="n">
        <v>14.7</v>
      </c>
      <c r="G35" s="34" t="inlineStr">
        <is>
          <t>Not Started</t>
        </is>
      </c>
      <c r="H35" s="35" t="n"/>
      <c r="I35" s="36" t="n"/>
    </row>
    <row r="36" ht="18" customHeight="1">
      <c r="A36" s="18" t="n">
        <v>30</v>
      </c>
      <c r="B36" s="30" t="inlineStr">
        <is>
          <t>4. Delta Lake &amp; Lakehouse</t>
        </is>
      </c>
      <c r="C36" s="31" t="inlineStr">
        <is>
          <t>Delta Table Cloning : Shallow vs Deep Clone with PySpark and Databricks</t>
        </is>
      </c>
      <c r="D36" s="37" t="inlineStr">
        <is>
          <t>Watch on YouTube</t>
        </is>
      </c>
      <c r="E36" s="33" t="n">
        <v>46294</v>
      </c>
      <c r="F36" s="19" t="n">
        <v>9.9</v>
      </c>
      <c r="G36" s="34" t="inlineStr">
        <is>
          <t>Not Started</t>
        </is>
      </c>
      <c r="H36" s="35" t="n"/>
      <c r="I36" s="36" t="n"/>
    </row>
    <row r="37" ht="18" customHeight="1">
      <c r="A37" s="18" t="n">
        <v>31</v>
      </c>
      <c r="B37" s="30" t="inlineStr">
        <is>
          <t>4. Delta Lake &amp; Lakehouse</t>
        </is>
      </c>
      <c r="C37" s="31" t="inlineStr">
        <is>
          <t>Liquid Clustering vs Partitioning in Delta Lake | Deep Dive with Demo</t>
        </is>
      </c>
      <c r="D37" s="37" t="inlineStr">
        <is>
          <t>Watch on YouTube</t>
        </is>
      </c>
      <c r="E37" s="33" t="n">
        <v>46294</v>
      </c>
      <c r="F37" s="19" t="n">
        <v>13</v>
      </c>
      <c r="G37" s="34" t="inlineStr">
        <is>
          <t>Not Started</t>
        </is>
      </c>
      <c r="H37" s="35" t="n"/>
      <c r="I37" s="36" t="n"/>
    </row>
    <row r="38" ht="18" customHeight="1">
      <c r="A38" s="18" t="n">
        <v>32</v>
      </c>
      <c r="B38" s="30" t="inlineStr">
        <is>
          <t>4. Delta Lake &amp; Lakehouse</t>
        </is>
      </c>
      <c r="C38" s="31" t="inlineStr">
        <is>
          <t>Delta Lake Change Data Feed: Enable, Query, and Real‑World Use Cases</t>
        </is>
      </c>
      <c r="D38" s="37" t="inlineStr">
        <is>
          <t>Watch on YouTube</t>
        </is>
      </c>
      <c r="E38" s="33" t="n">
        <v>46294</v>
      </c>
      <c r="F38" s="19" t="n">
        <v>10.7</v>
      </c>
      <c r="G38" s="34" t="inlineStr">
        <is>
          <t>Not Started</t>
        </is>
      </c>
      <c r="H38" s="35" t="n"/>
      <c r="I38" s="36" t="n"/>
    </row>
    <row r="39" ht="18" customHeight="1">
      <c r="A39" s="18" t="n">
        <v>33</v>
      </c>
      <c r="B39" s="30" t="inlineStr">
        <is>
          <t>4. Delta Lake &amp; Lakehouse</t>
        </is>
      </c>
      <c r="C39" s="31" t="inlineStr">
        <is>
          <t>Delta Lake Interview Questions</t>
        </is>
      </c>
      <c r="D39" s="37" t="inlineStr">
        <is>
          <t>Watch on YouTube</t>
        </is>
      </c>
      <c r="E39" s="33" t="n">
        <v>46294</v>
      </c>
      <c r="F39" s="19" t="n">
        <v>22.6</v>
      </c>
      <c r="G39" s="34" t="inlineStr">
        <is>
          <t>Not Started</t>
        </is>
      </c>
      <c r="H39" s="35" t="n"/>
      <c r="I39" s="36" t="n"/>
    </row>
    <row r="40" ht="24" customHeight="1">
      <c r="A40" s="28" t="inlineStr">
        <is>
          <t>5. MILESTONE: FINANCE DOMAIN END-TO-END PROJECT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 ht="18" customHeight="1">
      <c r="A41" s="18" t="n">
        <v>34</v>
      </c>
      <c r="B41" s="30" t="inlineStr">
        <is>
          <t>5. Milestone: Finance Domain End-to-End Project</t>
        </is>
      </c>
      <c r="C41" s="31" t="inlineStr">
        <is>
          <t>Finance Domain End-to-End Data Engineering Project in Databricks (Free Edition) with Source Code</t>
        </is>
      </c>
      <c r="D41" s="37" t="inlineStr">
        <is>
          <t>Watch on YouTube</t>
        </is>
      </c>
      <c r="E41" s="33" t="n">
        <v>46294</v>
      </c>
      <c r="F41" s="19" t="n">
        <v>154.2</v>
      </c>
      <c r="G41" s="34" t="inlineStr">
        <is>
          <t>Not Started</t>
        </is>
      </c>
      <c r="H41" s="35" t="n"/>
      <c r="I41" s="36" t="n"/>
    </row>
    <row r="42" ht="24" customHeight="1">
      <c r="A42" s="28" t="inlineStr">
        <is>
          <t>6. PYTHON FOR DATA ENGINEERING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 ht="18" customHeight="1">
      <c r="A43" s="18" t="n">
        <v>35</v>
      </c>
      <c r="B43" s="30" t="inlineStr">
        <is>
          <t>6. Python for Data Engineering</t>
        </is>
      </c>
      <c r="C43" s="31" t="inlineStr">
        <is>
          <t>Python Full Course (Beginner to Advanced) | Free Notebooks on GitHub</t>
        </is>
      </c>
      <c r="D43" s="37" t="inlineStr">
        <is>
          <t>Watch on YouTube</t>
        </is>
      </c>
      <c r="E43" s="33" t="n">
        <v>46294</v>
      </c>
      <c r="F43" s="19" t="n">
        <v>365.7</v>
      </c>
      <c r="G43" s="34" t="inlineStr">
        <is>
          <t>Not Started</t>
        </is>
      </c>
      <c r="H43" s="35" t="n"/>
      <c r="I43" s="36" t="n"/>
    </row>
    <row r="44" ht="18" customHeight="1">
      <c r="A44" s="18" t="n">
        <v>36</v>
      </c>
      <c r="B44" s="30" t="inlineStr">
        <is>
          <t>6. Python for Data Engineering</t>
        </is>
      </c>
      <c r="C44" s="31" t="inlineStr">
        <is>
          <t>Python Interview Questions and Answers</t>
        </is>
      </c>
      <c r="D44" s="37" t="inlineStr">
        <is>
          <t>Watch on YouTube</t>
        </is>
      </c>
      <c r="E44" s="33" t="n">
        <v>46294</v>
      </c>
      <c r="F44" s="19" t="n">
        <v>53.4</v>
      </c>
      <c r="G44" s="34" t="inlineStr">
        <is>
          <t>Not Started</t>
        </is>
      </c>
      <c r="H44" s="35" t="n"/>
      <c r="I44" s="36" t="n"/>
    </row>
    <row r="45" ht="24" customHeight="1">
      <c r="A45" s="28" t="inlineStr">
        <is>
          <t>7. DATABRICKS PLATFORM ESSENTIALS</t>
        </is>
      </c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 ht="18" customHeight="1">
      <c r="A46" s="18" t="n">
        <v>37</v>
      </c>
      <c r="B46" s="30" t="inlineStr">
        <is>
          <t>7. Databricks Platform Essentials</t>
        </is>
      </c>
      <c r="C46" s="31" t="inlineStr">
        <is>
          <t>Databricks Intro | History | Founders | Major Open Source Projects</t>
        </is>
      </c>
      <c r="D46" s="37" t="inlineStr">
        <is>
          <t>Watch on YouTube</t>
        </is>
      </c>
      <c r="E46" s="33" t="n">
        <v>46294</v>
      </c>
      <c r="F46" s="19" t="n">
        <v>5.5</v>
      </c>
      <c r="G46" s="34" t="inlineStr">
        <is>
          <t>Not Started</t>
        </is>
      </c>
      <c r="H46" s="35" t="n"/>
      <c r="I46" s="36" t="n"/>
    </row>
    <row r="47" ht="18" customHeight="1">
      <c r="A47" s="18" t="n">
        <v>38</v>
      </c>
      <c r="B47" s="30" t="inlineStr">
        <is>
          <t>7. Databricks Platform Essentials</t>
        </is>
      </c>
      <c r="C47" s="31" t="inlineStr">
        <is>
          <t>Databricks Architecture Unveiled: Accounts, Workspaces, Unity Catalog</t>
        </is>
      </c>
      <c r="D47" s="37" t="inlineStr">
        <is>
          <t>Watch on YouTube</t>
        </is>
      </c>
      <c r="E47" s="33" t="n">
        <v>46294</v>
      </c>
      <c r="F47" s="19" t="n">
        <v>9.4</v>
      </c>
      <c r="G47" s="34" t="inlineStr">
        <is>
          <t>Not Started</t>
        </is>
      </c>
      <c r="H47" s="35" t="n"/>
      <c r="I47" s="36" t="n"/>
    </row>
    <row r="48" ht="18" customHeight="1">
      <c r="A48" s="18" t="n">
        <v>39</v>
      </c>
      <c r="B48" s="30" t="inlineStr">
        <is>
          <t>7. Databricks Platform Essentials</t>
        </is>
      </c>
      <c r="C48" s="31" t="inlineStr">
        <is>
          <t>A Tour Around Databricks Workspace</t>
        </is>
      </c>
      <c r="D48" s="37" t="inlineStr">
        <is>
          <t>Watch on YouTube</t>
        </is>
      </c>
      <c r="E48" s="33" t="n">
        <v>46294</v>
      </c>
      <c r="F48" s="19" t="n">
        <v>9.9</v>
      </c>
      <c r="G48" s="34" t="inlineStr">
        <is>
          <t>Not Started</t>
        </is>
      </c>
      <c r="H48" s="35" t="n"/>
      <c r="I48" s="36" t="n"/>
    </row>
    <row r="49" ht="18" customHeight="1">
      <c r="A49" s="18" t="n">
        <v>40</v>
      </c>
      <c r="B49" s="30" t="inlineStr">
        <is>
          <t>7. Databricks Platform Essentials</t>
        </is>
      </c>
      <c r="C49" s="31" t="inlineStr">
        <is>
          <t>Master Databricks Notebooks: UI, Magic Commands, Widgets &amp; Collaboration</t>
        </is>
      </c>
      <c r="D49" s="37" t="inlineStr">
        <is>
          <t>Watch on YouTube</t>
        </is>
      </c>
      <c r="E49" s="33" t="n">
        <v>46294</v>
      </c>
      <c r="F49" s="19" t="n">
        <v>19</v>
      </c>
      <c r="G49" s="34" t="inlineStr">
        <is>
          <t>Not Started</t>
        </is>
      </c>
      <c r="H49" s="35" t="n"/>
      <c r="I49" s="36" t="n"/>
    </row>
    <row r="50" ht="18" customHeight="1">
      <c r="A50" s="18" t="n">
        <v>41</v>
      </c>
      <c r="B50" s="30" t="inlineStr">
        <is>
          <t>7. Databricks Platform Essentials</t>
        </is>
      </c>
      <c r="C50" s="31" t="inlineStr">
        <is>
          <t>Databricks Notebook - Run One from Another – %run vs dbutils.notebook.run</t>
        </is>
      </c>
      <c r="D50" s="37" t="inlineStr">
        <is>
          <t>Watch on YouTube</t>
        </is>
      </c>
      <c r="E50" s="33" t="n">
        <v>46294</v>
      </c>
      <c r="F50" s="19" t="n">
        <v>13.9</v>
      </c>
      <c r="G50" s="34" t="inlineStr">
        <is>
          <t>Not Started</t>
        </is>
      </c>
      <c r="H50" s="35" t="n"/>
      <c r="I50" s="36" t="n"/>
    </row>
    <row r="51" ht="18" customHeight="1">
      <c r="A51" s="18" t="n">
        <v>42</v>
      </c>
      <c r="B51" s="30" t="inlineStr">
        <is>
          <t>7. Databricks Platform Essentials</t>
        </is>
      </c>
      <c r="C51" s="31" t="inlineStr">
        <is>
          <t>Master Secret Scopes in Databricks Free Edition: Secure Credentials Fast</t>
        </is>
      </c>
      <c r="D51" s="37" t="inlineStr">
        <is>
          <t>Watch on YouTube</t>
        </is>
      </c>
      <c r="E51" s="33" t="n">
        <v>46294</v>
      </c>
      <c r="F51" s="19" t="n">
        <v>10.1</v>
      </c>
      <c r="G51" s="34" t="inlineStr">
        <is>
          <t>Not Started</t>
        </is>
      </c>
      <c r="H51" s="35" t="n"/>
      <c r="I51" s="36" t="n"/>
    </row>
    <row r="52" ht="18" customHeight="1">
      <c r="A52" s="18" t="n">
        <v>43</v>
      </c>
      <c r="B52" s="30" t="inlineStr">
        <is>
          <t>7. Databricks Platform Essentials</t>
        </is>
      </c>
      <c r="C52" s="31" t="inlineStr">
        <is>
          <t>Manage Files and Folder in Databricks using DBUtils</t>
        </is>
      </c>
      <c r="D52" s="37" t="inlineStr">
        <is>
          <t>Watch on YouTube</t>
        </is>
      </c>
      <c r="E52" s="33" t="n">
        <v>46294</v>
      </c>
      <c r="F52" s="19" t="n">
        <v>10.3</v>
      </c>
      <c r="G52" s="34" t="inlineStr">
        <is>
          <t>Not Started</t>
        </is>
      </c>
      <c r="H52" s="35" t="n"/>
      <c r="I52" s="36" t="n"/>
    </row>
    <row r="53" ht="18" customHeight="1">
      <c r="A53" s="18" t="n">
        <v>44</v>
      </c>
      <c r="B53" s="30" t="inlineStr">
        <is>
          <t>7. Databricks Platform Essentials</t>
        </is>
      </c>
      <c r="C53" s="31" t="inlineStr">
        <is>
          <t>Databricks Job: End‑to‑End Demo with Loops, Parameters, Failure Handling &amp; Alerts</t>
        </is>
      </c>
      <c r="D53" s="37" t="inlineStr">
        <is>
          <t>Watch on YouTube</t>
        </is>
      </c>
      <c r="E53" s="33" t="n">
        <v>46294</v>
      </c>
      <c r="F53" s="19" t="n">
        <v>29.3</v>
      </c>
      <c r="G53" s="34" t="inlineStr">
        <is>
          <t>Not Started</t>
        </is>
      </c>
      <c r="H53" s="35" t="n"/>
      <c r="I53" s="36" t="n"/>
    </row>
    <row r="54" ht="18" customHeight="1">
      <c r="A54" s="18" t="n">
        <v>45</v>
      </c>
      <c r="B54" s="30" t="inlineStr">
        <is>
          <t>7. Databricks Platform Essentials</t>
        </is>
      </c>
      <c r="C54" s="31" t="inlineStr">
        <is>
          <t>Mastering Databricks Auto-loader for Near Real Time/Batch Data Processing</t>
        </is>
      </c>
      <c r="D54" s="37" t="inlineStr">
        <is>
          <t>Watch on YouTube</t>
        </is>
      </c>
      <c r="E54" s="33" t="n">
        <v>46294</v>
      </c>
      <c r="F54" s="19" t="n">
        <v>25.7</v>
      </c>
      <c r="G54" s="34" t="inlineStr">
        <is>
          <t>Not Started</t>
        </is>
      </c>
      <c r="H54" s="35" t="n"/>
      <c r="I54" s="36" t="n"/>
    </row>
    <row r="55" ht="18" customHeight="1">
      <c r="A55" s="18" t="n">
        <v>46</v>
      </c>
      <c r="B55" s="30" t="inlineStr">
        <is>
          <t>7. Databricks Platform Essentials</t>
        </is>
      </c>
      <c r="C55" s="31" t="inlineStr">
        <is>
          <t>Debugging Code in Databricks</t>
        </is>
      </c>
      <c r="D55" s="37" t="inlineStr">
        <is>
          <t>Watch on YouTube</t>
        </is>
      </c>
      <c r="E55" s="33" t="n">
        <v>46294</v>
      </c>
      <c r="F55" s="19" t="n">
        <v>8.4</v>
      </c>
      <c r="G55" s="34" t="inlineStr">
        <is>
          <t>Not Started</t>
        </is>
      </c>
      <c r="H55" s="35" t="n"/>
      <c r="I55" s="36" t="n"/>
    </row>
    <row r="56" ht="18" customHeight="1">
      <c r="A56" s="18" t="n">
        <v>47</v>
      </c>
      <c r="B56" s="30" t="inlineStr">
        <is>
          <t>7. Databricks Platform Essentials</t>
        </is>
      </c>
      <c r="C56" s="31" t="inlineStr">
        <is>
          <t>Databricks Clusters: Types, Use Cases, and Costs with Demo</t>
        </is>
      </c>
      <c r="D56" s="37" t="inlineStr">
        <is>
          <t>Watch on YouTube</t>
        </is>
      </c>
      <c r="E56" s="33" t="n">
        <v>46294</v>
      </c>
      <c r="F56" s="19" t="n">
        <v>22.9</v>
      </c>
      <c r="G56" s="34" t="inlineStr">
        <is>
          <t>Not Started</t>
        </is>
      </c>
      <c r="H56" s="35" t="n"/>
      <c r="I56" s="36" t="n"/>
    </row>
    <row r="57" ht="18" customHeight="1">
      <c r="A57" s="18" t="n">
        <v>48</v>
      </c>
      <c r="B57" s="30" t="inlineStr">
        <is>
          <t>7. Databricks Platform Essentials</t>
        </is>
      </c>
      <c r="C57" s="31" t="inlineStr">
        <is>
          <t>Master Unity Catalog in Databricks</t>
        </is>
      </c>
      <c r="D57" s="37" t="inlineStr">
        <is>
          <t>Watch on YouTube</t>
        </is>
      </c>
      <c r="E57" s="33" t="n">
        <v>46294</v>
      </c>
      <c r="F57" s="19" t="n">
        <v>22.1</v>
      </c>
      <c r="G57" s="34" t="inlineStr">
        <is>
          <t>Not Started</t>
        </is>
      </c>
      <c r="H57" s="35" t="n"/>
      <c r="I57" s="36" t="n"/>
    </row>
    <row r="58" ht="18" customHeight="1">
      <c r="A58" s="18" t="n">
        <v>49</v>
      </c>
      <c r="B58" s="30" t="inlineStr">
        <is>
          <t>7. Databricks Platform Essentials</t>
        </is>
      </c>
      <c r="C58" s="31" t="inlineStr">
        <is>
          <t>Job Run Cost Calculation in Databricks with SQL</t>
        </is>
      </c>
      <c r="D58" s="37" t="inlineStr">
        <is>
          <t>Watch on YouTube</t>
        </is>
      </c>
      <c r="E58" s="33" t="n">
        <v>46294</v>
      </c>
      <c r="F58" s="19" t="n">
        <v>15.2</v>
      </c>
      <c r="G58" s="34" t="inlineStr">
        <is>
          <t>Not Started</t>
        </is>
      </c>
      <c r="H58" s="35" t="n"/>
      <c r="I58" s="36" t="n"/>
    </row>
    <row r="59" ht="24" customHeight="1">
      <c r="A59" s="28" t="inlineStr">
        <is>
          <t>8. DATABRICKS ADVANCED &amp; PRODUCTION</t>
        </is>
      </c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 ht="18" customHeight="1">
      <c r="A60" s="18" t="n">
        <v>50</v>
      </c>
      <c r="B60" s="30" t="inlineStr">
        <is>
          <t>8. Databricks Advanced &amp; Production</t>
        </is>
      </c>
      <c r="C60" s="31" t="inlineStr">
        <is>
          <t>Databricks LakeFlow Connect and Ingestion Pipelines</t>
        </is>
      </c>
      <c r="D60" s="37" t="inlineStr">
        <is>
          <t>Watch on YouTube</t>
        </is>
      </c>
      <c r="E60" s="33" t="n">
        <v>46294</v>
      </c>
      <c r="F60" s="19" t="n">
        <v>15.6</v>
      </c>
      <c r="G60" s="34" t="inlineStr">
        <is>
          <t>Not Started</t>
        </is>
      </c>
      <c r="H60" s="35" t="n"/>
      <c r="I60" s="36" t="n"/>
    </row>
    <row r="61" ht="18" customHeight="1">
      <c r="A61" s="18" t="n">
        <v>51</v>
      </c>
      <c r="B61" s="30" t="inlineStr">
        <is>
          <t>8. Databricks Advanced &amp; Production</t>
        </is>
      </c>
      <c r="C61" s="31" t="inlineStr">
        <is>
          <t>Databricks Lakeflow Declarative Pipelines Demo with SQL, Pyspark, DQ and E2E ETL</t>
        </is>
      </c>
      <c r="D61" s="37" t="inlineStr">
        <is>
          <t>Watch on YouTube</t>
        </is>
      </c>
      <c r="E61" s="33" t="n">
        <v>46294</v>
      </c>
      <c r="F61" s="19" t="n">
        <v>24.8</v>
      </c>
      <c r="G61" s="34" t="inlineStr">
        <is>
          <t>Not Started</t>
        </is>
      </c>
      <c r="H61" s="35" t="n"/>
      <c r="I61" s="36" t="n"/>
    </row>
    <row r="62" ht="18" customHeight="1">
      <c r="A62" s="18" t="n">
        <v>52</v>
      </c>
      <c r="B62" s="30" t="inlineStr">
        <is>
          <t>8. Databricks Advanced &amp; Production</t>
        </is>
      </c>
      <c r="C62" s="31" t="inlineStr">
        <is>
          <t>Databricks Interview Questions by Sr Data Architect</t>
        </is>
      </c>
      <c r="D62" s="37" t="inlineStr">
        <is>
          <t>Watch on YouTube</t>
        </is>
      </c>
      <c r="E62" s="33" t="n">
        <v>46294</v>
      </c>
      <c r="F62" s="19" t="n">
        <v>58.2</v>
      </c>
      <c r="G62" s="34" t="inlineStr">
        <is>
          <t>Not Started</t>
        </is>
      </c>
      <c r="H62" s="35" t="n"/>
      <c r="I62" s="36" t="n"/>
    </row>
    <row r="63" ht="18" customHeight="1">
      <c r="A63" s="18" t="n">
        <v>53</v>
      </c>
      <c r="B63" s="30" t="inlineStr">
        <is>
          <t>8. Databricks Advanced &amp; Production</t>
        </is>
      </c>
      <c r="C63" s="31" t="inlineStr">
        <is>
          <t>CICD process in Databricks with Bundles| Demo by Sr Data Aechitect in Free Edition</t>
        </is>
      </c>
      <c r="D63" s="37" t="inlineStr">
        <is>
          <t>Watch on YouTube</t>
        </is>
      </c>
      <c r="E63" s="33" t="n">
        <v>46294</v>
      </c>
      <c r="F63" s="19" t="n">
        <v>119.7</v>
      </c>
      <c r="G63" s="34" t="inlineStr">
        <is>
          <t>Not Started</t>
        </is>
      </c>
      <c r="H63" s="35" t="n"/>
      <c r="I63" s="36" t="n"/>
    </row>
    <row r="64" ht="18" customHeight="1">
      <c r="A64" s="18" t="n">
        <v>54</v>
      </c>
      <c r="B64" s="30" t="inlineStr">
        <is>
          <t>8. Databricks Advanced &amp; Production</t>
        </is>
      </c>
      <c r="C64" s="31" t="inlineStr">
        <is>
          <t>Databricks Metric Views Explained | Build a Semantic Layer Step-by-Step (Hands-on Demo)</t>
        </is>
      </c>
      <c r="D64" s="37" t="inlineStr">
        <is>
          <t>Watch on YouTube</t>
        </is>
      </c>
      <c r="E64" s="33" t="n">
        <v>46294</v>
      </c>
      <c r="F64" s="19" t="n">
        <v>71.5</v>
      </c>
      <c r="G64" s="34" t="inlineStr">
        <is>
          <t>Not Started</t>
        </is>
      </c>
      <c r="H64" s="35" t="n"/>
      <c r="I64" s="36" t="n"/>
    </row>
    <row r="65" ht="18" customHeight="1">
      <c r="A65" s="18" t="n">
        <v>55</v>
      </c>
      <c r="B65" s="30" t="inlineStr">
        <is>
          <t>8. Databricks Advanced &amp; Production</t>
        </is>
      </c>
      <c r="C65" s="31" t="inlineStr">
        <is>
          <t>Databricks Genie Code Full Tutorial | Skills, MCP, Jobs, Notebooks, Dashboards</t>
        </is>
      </c>
      <c r="D65" s="37" t="inlineStr">
        <is>
          <t>Watch on YouTube</t>
        </is>
      </c>
      <c r="E65" s="33" t="n">
        <v>46294</v>
      </c>
      <c r="F65" s="19" t="n">
        <v>90.09999999999999</v>
      </c>
      <c r="G65" s="34" t="inlineStr">
        <is>
          <t>Not Started</t>
        </is>
      </c>
      <c r="H65" s="35" t="n"/>
      <c r="I65" s="36" t="n"/>
    </row>
    <row r="66" ht="18" customHeight="1">
      <c r="A66" s="18" t="n">
        <v>56</v>
      </c>
      <c r="B66" s="30" t="inlineStr">
        <is>
          <t>8. Databricks Advanced &amp; Production</t>
        </is>
      </c>
      <c r="C66" s="31" t="inlineStr">
        <is>
          <t>Databricks Hidden Productivity Hacks | Shortcuts, Command Palette &amp; Pro Tips</t>
        </is>
      </c>
      <c r="D66" s="37" t="inlineStr">
        <is>
          <t>Watch on YouTube</t>
        </is>
      </c>
      <c r="E66" s="33" t="n">
        <v>46294</v>
      </c>
      <c r="F66" s="19" t="n">
        <v>14</v>
      </c>
      <c r="G66" s="34" t="inlineStr">
        <is>
          <t>Not Started</t>
        </is>
      </c>
      <c r="H66" s="35" t="n"/>
      <c r="I66" s="36" t="n"/>
    </row>
    <row r="67" ht="24" customHeight="1">
      <c r="A67" s="28" t="inlineStr">
        <is>
          <t>9. MILESTONE: RETAIL PROJECT (DATABRICKS)</t>
        </is>
      </c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 ht="18" customHeight="1">
      <c r="A68" s="18" t="n">
        <v>57</v>
      </c>
      <c r="B68" s="30" t="inlineStr">
        <is>
          <t>9. Milestone: Retail Project (Databricks)</t>
        </is>
      </c>
      <c r="C68" s="31" t="inlineStr">
        <is>
          <t>Retail Data Engineering Project in Databricks Free Edition | Salesforce + Postgres  Sources</t>
        </is>
      </c>
      <c r="D68" s="37" t="inlineStr">
        <is>
          <t>Watch on YouTube</t>
        </is>
      </c>
      <c r="E68" s="33" t="n">
        <v>46294</v>
      </c>
      <c r="F68" s="19" t="n">
        <v>183.3</v>
      </c>
      <c r="G68" s="34" t="inlineStr">
        <is>
          <t>Not Started</t>
        </is>
      </c>
      <c r="H68" s="35" t="n"/>
      <c r="I68" s="36" t="n"/>
    </row>
    <row r="69" ht="24" customHeight="1">
      <c r="A69" s="28" t="inlineStr">
        <is>
          <t>10. DATA MODELING &amp; AZURE DATA FACTORY</t>
        </is>
      </c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 ht="18" customHeight="1">
      <c r="A70" s="18" t="n">
        <v>58</v>
      </c>
      <c r="B70" s="30" t="inlineStr">
        <is>
          <t>10. Data Modeling &amp; Azure Data Factory</t>
        </is>
      </c>
      <c r="C70" s="31" t="inlineStr">
        <is>
          <t>Data Modeling E2E Course | Theory + Hands-On + Real Industry Practices</t>
        </is>
      </c>
      <c r="D70" s="37" t="inlineStr">
        <is>
          <t>Watch on YouTube</t>
        </is>
      </c>
      <c r="E70" s="33" t="n">
        <v>46294</v>
      </c>
      <c r="F70" s="19" t="n">
        <v>119.2</v>
      </c>
      <c r="G70" s="34" t="inlineStr">
        <is>
          <t>Not Started</t>
        </is>
      </c>
      <c r="H70" s="35" t="n"/>
      <c r="I70" s="36" t="n"/>
    </row>
    <row r="71" ht="18" customHeight="1">
      <c r="A71" s="18" t="n">
        <v>59</v>
      </c>
      <c r="B71" s="30" t="inlineStr">
        <is>
          <t>10. Data Modeling &amp; Azure Data Factory</t>
        </is>
      </c>
      <c r="C71" s="31" t="inlineStr">
        <is>
          <t>Azure Data Factory Full Course by a Sr Data Architect</t>
        </is>
      </c>
      <c r="D71" s="37" t="inlineStr">
        <is>
          <t>Watch on YouTube</t>
        </is>
      </c>
      <c r="E71" s="33" t="n">
        <v>46294</v>
      </c>
      <c r="F71" s="19" t="n">
        <v>255.3</v>
      </c>
      <c r="G71" s="34" t="inlineStr">
        <is>
          <t>Not Started</t>
        </is>
      </c>
      <c r="H71" s="35" t="n"/>
      <c r="I71" s="36" t="n"/>
    </row>
    <row r="72" ht="24" customHeight="1">
      <c r="A72" s="28" t="inlineStr">
        <is>
          <t>11. MILESTONE: END-TO-END AZURE PROJECT</t>
        </is>
      </c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8" customHeight="1">
      <c r="A73" s="18" t="n">
        <v>60</v>
      </c>
      <c r="B73" s="30" t="inlineStr">
        <is>
          <t>11. Milestone: End-to-End Azure Project</t>
        </is>
      </c>
      <c r="C73" s="31" t="inlineStr">
        <is>
          <t>E2E Azure Data Engineering Project | ADF + Databricks + Github + Logic Apps + KeyVault</t>
        </is>
      </c>
      <c r="D73" s="37" t="inlineStr">
        <is>
          <t>Watch on YouTube</t>
        </is>
      </c>
      <c r="E73" s="33" t="n">
        <v>46294</v>
      </c>
      <c r="F73" s="19" t="n">
        <v>343.1</v>
      </c>
      <c r="G73" s="34" t="inlineStr">
        <is>
          <t>Not Started</t>
        </is>
      </c>
      <c r="H73" s="35" t="n"/>
      <c r="I73" s="36" t="n"/>
    </row>
    <row r="74" ht="24" customHeight="1">
      <c r="A74" s="28" t="inlineStr">
        <is>
          <t>12. INTERVIEW PREP &amp; CAREER</t>
        </is>
      </c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8" customHeight="1">
      <c r="A75" s="18" t="n">
        <v>61</v>
      </c>
      <c r="B75" s="30" t="inlineStr">
        <is>
          <t>12. Interview Prep &amp; Career</t>
        </is>
      </c>
      <c r="C75" s="31" t="inlineStr">
        <is>
          <t>Azure + Databricks Interview Questions from Real Project Scenarios</t>
        </is>
      </c>
      <c r="D75" s="37" t="inlineStr">
        <is>
          <t>Watch on YouTube</t>
        </is>
      </c>
      <c r="E75" s="33" t="n">
        <v>46294</v>
      </c>
      <c r="F75" s="19" t="n">
        <v>46.5</v>
      </c>
      <c r="G75" s="34" t="inlineStr">
        <is>
          <t>Not Started</t>
        </is>
      </c>
      <c r="H75" s="35" t="n"/>
      <c r="I75" s="36" t="n"/>
    </row>
    <row r="76" ht="18" customHeight="1">
      <c r="A76" s="18" t="n">
        <v>62</v>
      </c>
      <c r="B76" s="30" t="inlineStr">
        <is>
          <t>12. Interview Prep &amp; Career</t>
        </is>
      </c>
      <c r="C76" s="31" t="inlineStr">
        <is>
          <t>Data Engineering Round 2 Interview Questions | By a Senior Data Architect</t>
        </is>
      </c>
      <c r="D76" s="37" t="inlineStr">
        <is>
          <t>Watch on YouTube</t>
        </is>
      </c>
      <c r="E76" s="33" t="n">
        <v>46294</v>
      </c>
      <c r="F76" s="19" t="n">
        <v>45.8</v>
      </c>
      <c r="G76" s="34" t="inlineStr">
        <is>
          <t>Not Started</t>
        </is>
      </c>
      <c r="H76" s="35" t="n"/>
      <c r="I76" s="36" t="n"/>
    </row>
    <row r="77" ht="18" customHeight="1">
      <c r="A77" s="18" t="n">
        <v>63</v>
      </c>
      <c r="B77" s="30" t="inlineStr">
        <is>
          <t>12. Interview Prep &amp; Career</t>
        </is>
      </c>
      <c r="C77" s="31" t="inlineStr">
        <is>
          <t>Use this Data Engg Resume with 5 projects from YouTube | Optimized for Current Market Standards</t>
        </is>
      </c>
      <c r="D77" s="37" t="inlineStr">
        <is>
          <t>Watch on YouTube</t>
        </is>
      </c>
      <c r="E77" s="33" t="n">
        <v>46294</v>
      </c>
      <c r="F77" s="19" t="n">
        <v>20.6</v>
      </c>
      <c r="G77" s="34" t="inlineStr">
        <is>
          <t>Not Started</t>
        </is>
      </c>
      <c r="H77" s="35" t="n"/>
      <c r="I77" s="36" t="n"/>
    </row>
    <row r="78" ht="18" customHeight="1">
      <c r="A78" s="18" t="n">
        <v>64</v>
      </c>
      <c r="B78" s="30" t="inlineStr">
        <is>
          <t>12. Interview Prep &amp; Career</t>
        </is>
      </c>
      <c r="C78" s="31" t="inlineStr">
        <is>
          <t>How AI Is Changing Data Engineering in 2026 - The Ground Truth &amp; The Future</t>
        </is>
      </c>
      <c r="D78" s="37" t="inlineStr">
        <is>
          <t>Watch on YouTube</t>
        </is>
      </c>
      <c r="E78" s="33" t="n">
        <v>46294</v>
      </c>
      <c r="F78" s="19" t="n">
        <v>25.3</v>
      </c>
      <c r="G78" s="34" t="inlineStr">
        <is>
          <t>Not Started</t>
        </is>
      </c>
      <c r="H78" s="35" t="n"/>
      <c r="I78" s="36" t="n"/>
    </row>
    <row r="79" ht="18" customHeight="1">
      <c r="A79" s="18" t="n">
        <v>65</v>
      </c>
      <c r="B79" s="30" t="inlineStr">
        <is>
          <t>12. Interview Prep &amp; Career</t>
        </is>
      </c>
      <c r="C79" s="31" t="inlineStr">
        <is>
          <t>Best Certifications for Data Engineers in 2026 (Complete Roadmap)</t>
        </is>
      </c>
      <c r="D79" s="37" t="inlineStr">
        <is>
          <t>Watch on YouTube</t>
        </is>
      </c>
      <c r="E79" s="33" t="n">
        <v>46294</v>
      </c>
      <c r="F79" s="19" t="n">
        <v>20</v>
      </c>
      <c r="G79" s="34" t="inlineStr">
        <is>
          <t>Not Started</t>
        </is>
      </c>
      <c r="H79" s="35" t="n"/>
      <c r="I79" s="3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1:I79"/>
  <mergeCells count="13">
    <mergeCell ref="A59:I59"/>
    <mergeCell ref="A33:I33"/>
    <mergeCell ref="A2:I2"/>
    <mergeCell ref="A11:I11"/>
    <mergeCell ref="A42:I42"/>
    <mergeCell ref="A45:I45"/>
    <mergeCell ref="A40:I40"/>
    <mergeCell ref="A18:I18"/>
    <mergeCell ref="A67:I67"/>
    <mergeCell ref="A74:I74"/>
    <mergeCell ref="A69:I69"/>
    <mergeCell ref="A4:I4"/>
    <mergeCell ref="A72:I72"/>
  </mergeCells>
  <conditionalFormatting sqref="A3:I79">
    <cfRule type="expression" priority="1" dxfId="0" stopIfTrue="0">
      <formula>$G3="Completed"</formula>
    </cfRule>
    <cfRule type="expression" priority="2" dxfId="1" stopIfTrue="0">
      <formula>$G3="In Progress"</formula>
    </cfRule>
  </conditionalFormatting>
  <conditionalFormatting sqref="G3:G79">
    <cfRule type="cellIs" priority="3" operator="equal" dxfId="2">
      <formula>"Completed"</formula>
    </cfRule>
    <cfRule type="cellIs" priority="4" operator="equal" dxfId="3">
      <formula>"In Progress"</formula>
    </cfRule>
  </conditionalFormatting>
  <dataValidations count="1">
    <dataValidation sqref="G3:G79" showDropDown="0" showInputMessage="0" showErrorMessage="0" allowBlank="1" errorTitle="Use the dropdown" error="Pick one of: Not Started, In Progress, Completed" promptTitle="Completion Status" prompt="Set your progress for this video" type="list">
      <formula1>"Not Started,In Progress,Completed"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1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5" r:id="rId19"/>
    <hyperlink xmlns:r="http://schemas.openxmlformats.org/officeDocument/2006/relationships" ref="D26" r:id="rId20"/>
    <hyperlink xmlns:r="http://schemas.openxmlformats.org/officeDocument/2006/relationships" ref="D27" r:id="rId21"/>
    <hyperlink xmlns:r="http://schemas.openxmlformats.org/officeDocument/2006/relationships" ref="D28" r:id="rId22"/>
    <hyperlink xmlns:r="http://schemas.openxmlformats.org/officeDocument/2006/relationships" ref="D29" r:id="rId23"/>
    <hyperlink xmlns:r="http://schemas.openxmlformats.org/officeDocument/2006/relationships" ref="D30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4" r:id="rId27"/>
    <hyperlink xmlns:r="http://schemas.openxmlformats.org/officeDocument/2006/relationships" ref="D35" r:id="rId28"/>
    <hyperlink xmlns:r="http://schemas.openxmlformats.org/officeDocument/2006/relationships" ref="D36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1" r:id="rId33"/>
    <hyperlink xmlns:r="http://schemas.openxmlformats.org/officeDocument/2006/relationships" ref="D43" r:id="rId34"/>
    <hyperlink xmlns:r="http://schemas.openxmlformats.org/officeDocument/2006/relationships" ref="D44" r:id="rId35"/>
    <hyperlink xmlns:r="http://schemas.openxmlformats.org/officeDocument/2006/relationships" ref="D46" r:id="rId36"/>
    <hyperlink xmlns:r="http://schemas.openxmlformats.org/officeDocument/2006/relationships" ref="D47" r:id="rId37"/>
    <hyperlink xmlns:r="http://schemas.openxmlformats.org/officeDocument/2006/relationships" ref="D48" r:id="rId38"/>
    <hyperlink xmlns:r="http://schemas.openxmlformats.org/officeDocument/2006/relationships" ref="D49" r:id="rId39"/>
    <hyperlink xmlns:r="http://schemas.openxmlformats.org/officeDocument/2006/relationships" ref="D50" r:id="rId40"/>
    <hyperlink xmlns:r="http://schemas.openxmlformats.org/officeDocument/2006/relationships" ref="D51" r:id="rId41"/>
    <hyperlink xmlns:r="http://schemas.openxmlformats.org/officeDocument/2006/relationships" ref="D52" r:id="rId42"/>
    <hyperlink xmlns:r="http://schemas.openxmlformats.org/officeDocument/2006/relationships" ref="D53" r:id="rId43"/>
    <hyperlink xmlns:r="http://schemas.openxmlformats.org/officeDocument/2006/relationships" ref="D54" r:id="rId44"/>
    <hyperlink xmlns:r="http://schemas.openxmlformats.org/officeDocument/2006/relationships" ref="D55" r:id="rId45"/>
    <hyperlink xmlns:r="http://schemas.openxmlformats.org/officeDocument/2006/relationships" ref="D56" r:id="rId46"/>
    <hyperlink xmlns:r="http://schemas.openxmlformats.org/officeDocument/2006/relationships" ref="D57" r:id="rId47"/>
    <hyperlink xmlns:r="http://schemas.openxmlformats.org/officeDocument/2006/relationships" ref="D58" r:id="rId48"/>
    <hyperlink xmlns:r="http://schemas.openxmlformats.org/officeDocument/2006/relationships" ref="D60" r:id="rId49"/>
    <hyperlink xmlns:r="http://schemas.openxmlformats.org/officeDocument/2006/relationships" ref="D61" r:id="rId50"/>
    <hyperlink xmlns:r="http://schemas.openxmlformats.org/officeDocument/2006/relationships" ref="D62" r:id="rId51"/>
    <hyperlink xmlns:r="http://schemas.openxmlformats.org/officeDocument/2006/relationships" ref="D63" r:id="rId52"/>
    <hyperlink xmlns:r="http://schemas.openxmlformats.org/officeDocument/2006/relationships" ref="D64" r:id="rId53"/>
    <hyperlink xmlns:r="http://schemas.openxmlformats.org/officeDocument/2006/relationships" ref="D65" r:id="rId54"/>
    <hyperlink xmlns:r="http://schemas.openxmlformats.org/officeDocument/2006/relationships" ref="D66" r:id="rId55"/>
    <hyperlink xmlns:r="http://schemas.openxmlformats.org/officeDocument/2006/relationships" ref="D68" r:id="rId56"/>
    <hyperlink xmlns:r="http://schemas.openxmlformats.org/officeDocument/2006/relationships" ref="D70" r:id="rId57"/>
    <hyperlink xmlns:r="http://schemas.openxmlformats.org/officeDocument/2006/relationships" ref="D71" r:id="rId58"/>
    <hyperlink xmlns:r="http://schemas.openxmlformats.org/officeDocument/2006/relationships" ref="D73" r:id="rId59"/>
    <hyperlink xmlns:r="http://schemas.openxmlformats.org/officeDocument/2006/relationships" ref="D75" r:id="rId60"/>
    <hyperlink xmlns:r="http://schemas.openxmlformats.org/officeDocument/2006/relationships" ref="D76" r:id="rId61"/>
    <hyperlink xmlns:r="http://schemas.openxmlformats.org/officeDocument/2006/relationships" ref="D77" r:id="rId62"/>
    <hyperlink xmlns:r="http://schemas.openxmlformats.org/officeDocument/2006/relationships" ref="D78" r:id="rId63"/>
    <hyperlink xmlns:r="http://schemas.openxmlformats.org/officeDocument/2006/relationships" ref="D79" r:id="rId6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2026-09-29T13:37:11Z</dcterms:created>
  <dcterms:modified xmlns:dcterms="http://purl.org/dc/terms/" xmlns:xsi="http://www.w3.org/2001/XMLSchema-instance" xsi:type="dcterms:W3CDTF">2026-09-29T13:37:11Z</dcterms:modified>
</cp:coreProperties>
</file>